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\SynologyDrive\DynamicSoaring\Presentation\"/>
    </mc:Choice>
  </mc:AlternateContent>
  <xr:revisionPtr revIDLastSave="0" documentId="13_ncr:1_{F6E227EA-673D-4A72-B707-DD70581969DA}" xr6:coauthVersionLast="47" xr6:coauthVersionMax="47" xr10:uidLastSave="{00000000-0000-0000-0000-000000000000}"/>
  <bookViews>
    <workbookView xWindow="-120" yWindow="-120" windowWidth="38640" windowHeight="21120" xr2:uid="{24A275D7-C1E9-4F84-92D1-0ABC0A1048E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2" i="1" a="1"/>
  <c r="K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2" i="1"/>
  <c r="D73" i="1"/>
  <c r="D71" i="1"/>
  <c r="D70" i="1"/>
  <c r="D69" i="1"/>
  <c r="D68" i="1"/>
  <c r="D67" i="1"/>
  <c r="D66" i="1"/>
  <c r="D65" i="1"/>
  <c r="D64" i="1"/>
  <c r="D63" i="1"/>
  <c r="D62" i="1"/>
  <c r="D61" i="1"/>
  <c r="D59" i="1"/>
  <c r="D60" i="1"/>
  <c r="D58" i="1"/>
  <c r="D57" i="1"/>
  <c r="D56" i="1"/>
  <c r="D55" i="1"/>
  <c r="D54" i="1"/>
  <c r="D53" i="1"/>
  <c r="D52" i="1"/>
  <c r="D50" i="1"/>
  <c r="D51" i="1"/>
  <c r="D49" i="1"/>
  <c r="D48" i="1"/>
  <c r="D47" i="1"/>
  <c r="D45" i="1"/>
  <c r="D46" i="1"/>
  <c r="D44" i="1"/>
  <c r="D43" i="1"/>
  <c r="D42" i="1"/>
  <c r="D41" i="1"/>
  <c r="D39" i="1"/>
  <c r="D40" i="1"/>
  <c r="D36" i="1"/>
  <c r="D37" i="1"/>
  <c r="D38" i="1"/>
  <c r="D35" i="1"/>
  <c r="D34" i="1"/>
  <c r="D33" i="1"/>
  <c r="D32" i="1"/>
  <c r="D31" i="1"/>
  <c r="D27" i="1"/>
  <c r="D28" i="1"/>
  <c r="D30" i="1"/>
  <c r="D29" i="1"/>
  <c r="D25" i="1"/>
  <c r="D26" i="1"/>
  <c r="D24" i="1"/>
  <c r="D22" i="1"/>
  <c r="D23" i="1"/>
  <c r="D21" i="1"/>
  <c r="D19" i="1"/>
  <c r="D20" i="1"/>
  <c r="D18" i="1"/>
  <c r="D17" i="1"/>
  <c r="D15" i="1"/>
  <c r="D16" i="1"/>
  <c r="D14" i="1"/>
  <c r="D12" i="1"/>
  <c r="D13" i="1"/>
  <c r="D11" i="1"/>
  <c r="D10" i="1"/>
  <c r="D9" i="1"/>
  <c r="D7" i="1"/>
  <c r="D8" i="1"/>
  <c r="D5" i="1"/>
  <c r="D6" i="1"/>
  <c r="D4" i="1"/>
  <c r="D3" i="1"/>
  <c r="D2" i="1"/>
  <c r="D1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<sst xmlns="http://schemas.openxmlformats.org/spreadsheetml/2006/main" count="572" uniqueCount="260">
  <si>
    <t>Bruce Tebo</t>
  </si>
  <si>
    <t>Transonic DP</t>
  </si>
  <si>
    <t>Bird Spring Pass</t>
  </si>
  <si>
    <t>S Lisenby</t>
  </si>
  <si>
    <t>Stalker Pro II</t>
  </si>
  <si>
    <t>Spencer Lisenby</t>
  </si>
  <si>
    <t>B Tebo</t>
  </si>
  <si>
    <t>Alex Hewson</t>
  </si>
  <si>
    <t>Windwhistle</t>
  </si>
  <si>
    <t>S Spooner</t>
  </si>
  <si>
    <t>Joe Manor</t>
  </si>
  <si>
    <t>Endgame 180</t>
  </si>
  <si>
    <t>J Lilly</t>
  </si>
  <si>
    <t>Steven Welsh</t>
  </si>
  <si>
    <t>Jason Lilly</t>
  </si>
  <si>
    <t>Dominic Messiha</t>
  </si>
  <si>
    <t>Kinetic 130 DP/K130</t>
  </si>
  <si>
    <t>Parker Heights</t>
  </si>
  <si>
    <t>Gery Mazzola</t>
  </si>
  <si>
    <t>Kumeta DS</t>
  </si>
  <si>
    <t>Mount Kumeta</t>
  </si>
  <si>
    <t>C Furnari</t>
  </si>
  <si>
    <t>Josh Roth</t>
  </si>
  <si>
    <t>John Buxton</t>
  </si>
  <si>
    <t>Kinetic 100 DP/K100</t>
  </si>
  <si>
    <t>Weldon</t>
  </si>
  <si>
    <t>M Muir</t>
  </si>
  <si>
    <t>Falcon</t>
  </si>
  <si>
    <t>Brandon Keily</t>
  </si>
  <si>
    <t>Marcus Minger</t>
  </si>
  <si>
    <t>Jake Malkin</t>
  </si>
  <si>
    <t>Dynamic 130</t>
  </si>
  <si>
    <t>J Appelt</t>
  </si>
  <si>
    <t>Eric Smith</t>
  </si>
  <si>
    <t>Cactus Ridge</t>
  </si>
  <si>
    <t>S Moloney</t>
  </si>
  <si>
    <t>Tauno Knuuttila</t>
  </si>
  <si>
    <t>T Fraughton</t>
  </si>
  <si>
    <t>Nick Hull</t>
  </si>
  <si>
    <t>Joe Zwart</t>
  </si>
  <si>
    <t>N Stong</t>
  </si>
  <si>
    <t>Scott Spooner</t>
  </si>
  <si>
    <t>A Hewson</t>
  </si>
  <si>
    <t>Chris Bosley</t>
  </si>
  <si>
    <t>Norco</t>
  </si>
  <si>
    <t>Nick Stong</t>
  </si>
  <si>
    <t>Thundertaker</t>
  </si>
  <si>
    <t>I Frechette</t>
  </si>
  <si>
    <t>Ian Frechette</t>
  </si>
  <si>
    <t>L Westerlund</t>
  </si>
  <si>
    <t>Marlan Muir</t>
  </si>
  <si>
    <t>B Cox</t>
  </si>
  <si>
    <t>Gregg Bolton</t>
  </si>
  <si>
    <t>Kinetic 2M DP/K2M</t>
  </si>
  <si>
    <t>Astan Singh</t>
  </si>
  <si>
    <t>Sound Wave 2.6</t>
  </si>
  <si>
    <t>Tekapo</t>
  </si>
  <si>
    <t>J Ashton</t>
  </si>
  <si>
    <t>Stalker Pro</t>
  </si>
  <si>
    <t>Sean Moloney</t>
  </si>
  <si>
    <t>Deepend 3DP</t>
  </si>
  <si>
    <t>T Harris</t>
  </si>
  <si>
    <t>Sandro Bosshard</t>
  </si>
  <si>
    <t>Patrick Häusler</t>
  </si>
  <si>
    <t>Schaufelbergeregg</t>
  </si>
  <si>
    <t>T Wacherlin</t>
  </si>
  <si>
    <t>Mike Dantonio</t>
  </si>
  <si>
    <t>D Williams</t>
  </si>
  <si>
    <t>Curtis Laney</t>
  </si>
  <si>
    <t>Johathan Wells</t>
  </si>
  <si>
    <t>Skirrid Hill</t>
  </si>
  <si>
    <t>W Deighton</t>
  </si>
  <si>
    <t>Mehrdad Amir</t>
  </si>
  <si>
    <t>John Callaghan</t>
  </si>
  <si>
    <t>Brent Hardcastle</t>
  </si>
  <si>
    <t>Kyle Dahl</t>
  </si>
  <si>
    <t>Heiko Herling</t>
  </si>
  <si>
    <t>Michael Durr</t>
  </si>
  <si>
    <t>Unterberg</t>
  </si>
  <si>
    <t>C Kopff</t>
  </si>
  <si>
    <t>James Duartep</t>
  </si>
  <si>
    <t>Skip Miller</t>
  </si>
  <si>
    <t>S Welsh</t>
  </si>
  <si>
    <t>Jochen Linhardt</t>
  </si>
  <si>
    <t>A Von Berky</t>
  </si>
  <si>
    <t>Marty Hill</t>
  </si>
  <si>
    <t>Marcus Teipel</t>
  </si>
  <si>
    <t>S Stemlock</t>
  </si>
  <si>
    <t>Brett Banker</t>
  </si>
  <si>
    <t>Dynamic 80/D80</t>
  </si>
  <si>
    <t>Rich Gryde</t>
  </si>
  <si>
    <t>D Messiha</t>
  </si>
  <si>
    <t>Spencer Deputy</t>
  </si>
  <si>
    <t>B Brown</t>
  </si>
  <si>
    <t>Jaro Ufer</t>
  </si>
  <si>
    <t>Paul Anderson</t>
  </si>
  <si>
    <t>G Bolton</t>
  </si>
  <si>
    <t>Lloyd Davies</t>
  </si>
  <si>
    <t>Matt Desantis</t>
  </si>
  <si>
    <t>J Buxton</t>
  </si>
  <si>
    <t>Daxton Self</t>
  </si>
  <si>
    <t>Frank Slaughter</t>
  </si>
  <si>
    <t>C Bosley</t>
  </si>
  <si>
    <t>Joel Pedder</t>
  </si>
  <si>
    <t>Steve Forbes</t>
  </si>
  <si>
    <t>Prospeed</t>
  </si>
  <si>
    <t>Roger Meagher</t>
  </si>
  <si>
    <t>Vernon Anderson</t>
  </si>
  <si>
    <t>Mark Southall</t>
  </si>
  <si>
    <t>Leo Yu</t>
  </si>
  <si>
    <t>Dungog</t>
  </si>
  <si>
    <t>E Smith</t>
  </si>
  <si>
    <t>Ray Gross</t>
  </si>
  <si>
    <t>Corrie Hoult</t>
  </si>
  <si>
    <t>James Mueller</t>
  </si>
  <si>
    <t>Dynamic 60/D60</t>
  </si>
  <si>
    <t>Carrizo Gorge</t>
  </si>
  <si>
    <t>Gary Legerton</t>
  </si>
  <si>
    <t>Thundermaster 200</t>
  </si>
  <si>
    <t>Mark Chung</t>
  </si>
  <si>
    <t>Joe Zepeda</t>
  </si>
  <si>
    <t>Sam Tullet</t>
  </si>
  <si>
    <t>Wainui</t>
  </si>
  <si>
    <t>Dennis Noland</t>
  </si>
  <si>
    <t>Typhoon 100</t>
  </si>
  <si>
    <t>Three Rocks</t>
  </si>
  <si>
    <t>N Mertke</t>
  </si>
  <si>
    <t>Not Posted</t>
  </si>
  <si>
    <t>Jordan Loreto</t>
  </si>
  <si>
    <t>Parker</t>
  </si>
  <si>
    <t>Will Deighton</t>
  </si>
  <si>
    <t>J Wells</t>
  </si>
  <si>
    <t>Andrew Von Berky</t>
  </si>
  <si>
    <t>Wizard Compact DSX</t>
  </si>
  <si>
    <t>Seth Penery</t>
  </si>
  <si>
    <t>P Anderson</t>
  </si>
  <si>
    <t>Loren Mills</t>
  </si>
  <si>
    <t>Kyle Paulson</t>
  </si>
  <si>
    <t>Extreme 100</t>
  </si>
  <si>
    <t>J Zepeda</t>
  </si>
  <si>
    <t>Andre Quadrado</t>
  </si>
  <si>
    <t>Doug Rubin</t>
  </si>
  <si>
    <t>B Banker</t>
  </si>
  <si>
    <t>Ken Gregory</t>
  </si>
  <si>
    <t>Shockwave DS</t>
  </si>
  <si>
    <t>D Noland</t>
  </si>
  <si>
    <t>Paul Martin</t>
  </si>
  <si>
    <t>Rushup Edge</t>
  </si>
  <si>
    <t>Mark Robbins</t>
  </si>
  <si>
    <t>Rockpile, SD</t>
  </si>
  <si>
    <t>T Robbins</t>
  </si>
  <si>
    <t>Jim Berg</t>
  </si>
  <si>
    <t>C Erdahl</t>
  </si>
  <si>
    <t>Lars Berg</t>
  </si>
  <si>
    <t>Ryan Larson</t>
  </si>
  <si>
    <t>M Robbins</t>
  </si>
  <si>
    <t>Avery Adinauer</t>
  </si>
  <si>
    <t>Opus MCT</t>
  </si>
  <si>
    <t>Goat Rock</t>
  </si>
  <si>
    <t>M Simon</t>
  </si>
  <si>
    <t>Mike Simon</t>
  </si>
  <si>
    <t>Opus MC3</t>
  </si>
  <si>
    <t>A Adinauer</t>
  </si>
  <si>
    <t>Claus Linhardt</t>
  </si>
  <si>
    <t>Fischbach</t>
  </si>
  <si>
    <t>K Panusch</t>
  </si>
  <si>
    <t>Aaron Foster</t>
  </si>
  <si>
    <t>T Vu</t>
  </si>
  <si>
    <t>Chris Brooksby</t>
  </si>
  <si>
    <t>Mars Hill</t>
  </si>
  <si>
    <t>Warrick Smith</t>
  </si>
  <si>
    <t>A Bourne</t>
  </si>
  <si>
    <t>Lee Westerlund</t>
  </si>
  <si>
    <t>synergy Mk1</t>
  </si>
  <si>
    <t>Adam Richardson</t>
  </si>
  <si>
    <t>Graham Bridge</t>
  </si>
  <si>
    <t>Stu Chaldecott</t>
  </si>
  <si>
    <t>Norm Mertke</t>
  </si>
  <si>
    <t>Kamikaze 2.5M</t>
  </si>
  <si>
    <t>Scott Ashforth</t>
  </si>
  <si>
    <t>Geoff Sokoll</t>
  </si>
  <si>
    <t>B Hardcastle</t>
  </si>
  <si>
    <t>Tony Vu</t>
  </si>
  <si>
    <t>A Foster</t>
  </si>
  <si>
    <t>Artur Blömker</t>
  </si>
  <si>
    <t>SRTL</t>
  </si>
  <si>
    <t>Lower Saxony</t>
  </si>
  <si>
    <t>J Ufer</t>
  </si>
  <si>
    <t>Mark Abbotts</t>
  </si>
  <si>
    <t>Paul Arbogast</t>
  </si>
  <si>
    <t>Luciano Bellavia</t>
  </si>
  <si>
    <t>Palermo</t>
  </si>
  <si>
    <t>G Mazzola</t>
  </si>
  <si>
    <t>Nathan Attridge</t>
  </si>
  <si>
    <t>Paul Marshall</t>
  </si>
  <si>
    <t>Wild Willy</t>
  </si>
  <si>
    <t>D Tester</t>
  </si>
  <si>
    <t>Thomas Wacherlin</t>
  </si>
  <si>
    <t>Diva-DS</t>
  </si>
  <si>
    <t>Steve Rainbow</t>
  </si>
  <si>
    <t>Mam Tor UK</t>
  </si>
  <si>
    <t>G Bridge</t>
  </si>
  <si>
    <t>Datum</t>
  </si>
  <si>
    <t>Pilot</t>
  </si>
  <si>
    <t>Speed mph</t>
  </si>
  <si>
    <t>Speed Kmh</t>
  </si>
  <si>
    <t>Glider</t>
  </si>
  <si>
    <t>Location</t>
  </si>
  <si>
    <t>Whitness</t>
  </si>
  <si>
    <t>Radargun</t>
  </si>
  <si>
    <t>8.29.2010</t>
  </si>
  <si>
    <t>12.21.2023</t>
  </si>
  <si>
    <t>4.20.2017</t>
  </si>
  <si>
    <t>11.24.2018</t>
  </si>
  <si>
    <t>12.31.2007</t>
  </si>
  <si>
    <t>4.30.2020</t>
  </si>
  <si>
    <t>11.22.2012</t>
  </si>
  <si>
    <t>4.19.2022</t>
  </si>
  <si>
    <t>5.21.2008</t>
  </si>
  <si>
    <t>5.30.2008</t>
  </si>
  <si>
    <t>5.18.2024</t>
  </si>
  <si>
    <t>3.28.2016</t>
  </si>
  <si>
    <t>4.28.2016</t>
  </si>
  <si>
    <t>1.16.2008</t>
  </si>
  <si>
    <t>4.14.2013</t>
  </si>
  <si>
    <t>10.29.2023</t>
  </si>
  <si>
    <t>10.24.2010</t>
  </si>
  <si>
    <t>4.18.2012</t>
  </si>
  <si>
    <t>2.23.2017</t>
  </si>
  <si>
    <t>4.25.2016</t>
  </si>
  <si>
    <t>5.22.2024</t>
  </si>
  <si>
    <t>12.20.2010</t>
  </si>
  <si>
    <t>1.19.2021</t>
  </si>
  <si>
    <t>4.28.2010</t>
  </si>
  <si>
    <t>5.23.2011</t>
  </si>
  <si>
    <t>5.28.2011</t>
  </si>
  <si>
    <t>4.26.2012</t>
  </si>
  <si>
    <t>4.22.2014</t>
  </si>
  <si>
    <t>12.22.2009</t>
  </si>
  <si>
    <t>5.17.2026</t>
  </si>
  <si>
    <t>11.16.2013</t>
  </si>
  <si>
    <t>4.18.2011</t>
  </si>
  <si>
    <t>5.19.2016</t>
  </si>
  <si>
    <t>1.17.2015</t>
  </si>
  <si>
    <t>5.17.2025</t>
  </si>
  <si>
    <t>1.22.2022</t>
  </si>
  <si>
    <t>4.23.2016</t>
  </si>
  <si>
    <t>7.17.2015</t>
  </si>
  <si>
    <t>5.21.2010</t>
  </si>
  <si>
    <t>4.15.2013</t>
  </si>
  <si>
    <t>9.16.2020</t>
  </si>
  <si>
    <t>11.24.2022</t>
  </si>
  <si>
    <t>3.29.2017</t>
  </si>
  <si>
    <t>9.22.2016</t>
  </si>
  <si>
    <t>10.27.2012</t>
  </si>
  <si>
    <t>10.26.2020</t>
  </si>
  <si>
    <t>6.21.2025</t>
  </si>
  <si>
    <t>2.21.2023</t>
  </si>
  <si>
    <t>Jahr</t>
  </si>
  <si>
    <t>Speed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</si>
</sst>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;@"/>
  </numFmts>
  <fonts count="3" x14ac:knownFonts="1"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000000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2" borderId="5" xfId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169" fontId="0" fillId="0" borderId="0" xfId="0" applyNumberFormat="1"/>
    <xf numFmtId="169" fontId="2" fillId="2" borderId="2" xfId="1" applyNumberFormat="1" applyFill="1" applyBorder="1" applyAlignment="1">
      <alignment horizontal="center" vertical="center" wrapText="1"/>
    </xf>
    <xf numFmtId="169" fontId="2" fillId="2" borderId="1" xfId="1" applyNumberFormat="1" applyFill="1" applyBorder="1" applyAlignment="1">
      <alignment horizontal="center" vertical="center" wrapText="1"/>
    </xf>
    <xf numFmtId="169" fontId="2" fillId="2" borderId="5" xfId="1" applyNumberFormat="1" applyFill="1" applyBorder="1" applyAlignment="1">
      <alignment horizontal="center" vertical="center" wrapText="1"/>
    </xf>
    <xf numFmtId="2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Tabelle1!$L$1</c:f>
              <c:strCache>
                <c:ptCount val="1"/>
                <c:pt idx="0">
                  <c:v>Speed km/h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9941399517407795E-2"/>
                  <c:y val="-3.27600299431834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5D-4E70-BA16-723129435F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Tabelle1!$K$2:$K$22</c:f>
              <c:numCache>
                <c:formatCode>General</c:formatCod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numCache>
            </c:numRef>
          </c:cat>
          <c:val>
            <c:numRef>
              <c:f>Tabelle1!$L$2:$L$22</c:f>
              <c:numCache>
                <c:formatCode>0.00</c:formatCode>
                <c:ptCount val="21"/>
                <c:pt idx="0">
                  <c:v>486.02188799999999</c:v>
                </c:pt>
                <c:pt idx="1">
                  <c:v>495.677952</c:v>
                </c:pt>
                <c:pt idx="2">
                  <c:v>500.50598400000001</c:v>
                </c:pt>
                <c:pt idx="3">
                  <c:v>547.17696000000001</c:v>
                </c:pt>
                <c:pt idx="4">
                  <c:v>716.15807999999993</c:v>
                </c:pt>
                <c:pt idx="5">
                  <c:v>651.78431999999998</c:v>
                </c:pt>
                <c:pt idx="6">
                  <c:v>761.21971199999996</c:v>
                </c:pt>
                <c:pt idx="7">
                  <c:v>655.00300800000002</c:v>
                </c:pt>
                <c:pt idx="8">
                  <c:v>646.95628800000009</c:v>
                </c:pt>
                <c:pt idx="9">
                  <c:v>671.09644800000001</c:v>
                </c:pt>
                <c:pt idx="10">
                  <c:v>690.40857600000004</c:v>
                </c:pt>
                <c:pt idx="11">
                  <c:v>659.83103999999992</c:v>
                </c:pt>
                <c:pt idx="12">
                  <c:v>674.31513599999994</c:v>
                </c:pt>
                <c:pt idx="13">
                  <c:v>556.83302400000002</c:v>
                </c:pt>
                <c:pt idx="14">
                  <c:v>867.43641600000001</c:v>
                </c:pt>
                <c:pt idx="15">
                  <c:v>759.61036799999999</c:v>
                </c:pt>
                <c:pt idx="16">
                  <c:v>659.83103999999992</c:v>
                </c:pt>
                <c:pt idx="17">
                  <c:v>907.67001600000003</c:v>
                </c:pt>
                <c:pt idx="18">
                  <c:v>584.19187199999999</c:v>
                </c:pt>
                <c:pt idx="19">
                  <c:v>854.56166400000006</c:v>
                </c:pt>
                <c:pt idx="20">
                  <c:v>912.49804799999993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D-4E70-BA16-723129435F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77030552"/>
        <c:axId val="977031632"/>
      </c:lineChart>
      <c:catAx>
        <c:axId val="97703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31632"/>
        <c:crosses val="autoZero"/>
        <c:auto val="1"/>
        <c:lblAlgn val="ctr"/>
        <c:lblOffset val="100"/>
        <c:noMultiLvlLbl val="0"/>
      </c:catAx>
      <c:valAx>
        <c:axId val="977031632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30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676274</xdr:colOff>
      <xdr:row>4</xdr:row>
      <xdr:rowOff>90486</xdr:rowOff>
    </xdr:from>
    <xdr:to>
      <xdr:col>24</xdr:col>
      <xdr:colOff>742949</xdr:colOff>
      <xdr:row>19</xdr:row>
      <xdr:rowOff>380999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9C98EB80-E6BD-EEFE-9C3C-18551BFDE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Content$gvACSpeeds','Date$29')" TargetMode="External"/><Relationship Id="rId299" Type="http://schemas.openxmlformats.org/officeDocument/2006/relationships/hyperlink" Target="javascript:__doPostBack('ctl00$MainContent$gvACSpeeds','Plane$74')" TargetMode="External"/><Relationship Id="rId21" Type="http://schemas.openxmlformats.org/officeDocument/2006/relationships/hyperlink" Target="javascript:__doPostBack('ctl00$MainContent$gvACSpeeds','Date$5')" TargetMode="External"/><Relationship Id="rId63" Type="http://schemas.openxmlformats.org/officeDocument/2006/relationships/hyperlink" Target="javascript:__doPostBack('ctl00$MainContent$gvACSpeeds','Plane$15')" TargetMode="External"/><Relationship Id="rId159" Type="http://schemas.openxmlformats.org/officeDocument/2006/relationships/hyperlink" Target="javascript:__doPostBack('ctl00$MainContent$gvACSpeeds','Plane$39')" TargetMode="External"/><Relationship Id="rId324" Type="http://schemas.openxmlformats.org/officeDocument/2006/relationships/hyperlink" Target="javascript:__doPostBack('ctl00$MainContent$gvACSpeeds','Location$80')" TargetMode="External"/><Relationship Id="rId366" Type="http://schemas.openxmlformats.org/officeDocument/2006/relationships/hyperlink" Target="javascript:__doPostBack('ctl00$MainContent$gvACSpeeds','Pilot$91')" TargetMode="External"/><Relationship Id="rId170" Type="http://schemas.openxmlformats.org/officeDocument/2006/relationships/hyperlink" Target="javascript:__doPostBack('ctl00$MainContent$gvACSpeeds','Pilot$42')" TargetMode="External"/><Relationship Id="rId226" Type="http://schemas.openxmlformats.org/officeDocument/2006/relationships/hyperlink" Target="javascript:__doPostBack('ctl00$MainContent$gvACSpeeds','Pilot$56')" TargetMode="External"/><Relationship Id="rId107" Type="http://schemas.openxmlformats.org/officeDocument/2006/relationships/hyperlink" Target="javascript:__doPostBack('ctl00$MainContent$gvACSpeeds','Plane$26')" TargetMode="External"/><Relationship Id="rId268" Type="http://schemas.openxmlformats.org/officeDocument/2006/relationships/hyperlink" Target="javascript:__doPostBack('ctl00$MainContent$gvACSpeeds','Location$66')" TargetMode="External"/><Relationship Id="rId289" Type="http://schemas.openxmlformats.org/officeDocument/2006/relationships/hyperlink" Target="javascript:__doPostBack('ctl00$MainContent$gvACSpeeds','Date$72')" TargetMode="External"/><Relationship Id="rId11" Type="http://schemas.openxmlformats.org/officeDocument/2006/relationships/hyperlink" Target="javascript:__doPostBack('ctl00$MainContent$gvACSpeeds','Plane$2')" TargetMode="External"/><Relationship Id="rId32" Type="http://schemas.openxmlformats.org/officeDocument/2006/relationships/hyperlink" Target="javascript:__doPostBack('ctl00$MainContent$gvACSpeeds','Location$7')" TargetMode="External"/><Relationship Id="rId53" Type="http://schemas.openxmlformats.org/officeDocument/2006/relationships/hyperlink" Target="javascript:__doPostBack('ctl00$MainContent$gvACSpeeds','Date$13')" TargetMode="External"/><Relationship Id="rId74" Type="http://schemas.openxmlformats.org/officeDocument/2006/relationships/hyperlink" Target="javascript:__doPostBack('ctl00$MainContent$gvACSpeeds','Pilot$18')" TargetMode="External"/><Relationship Id="rId128" Type="http://schemas.openxmlformats.org/officeDocument/2006/relationships/hyperlink" Target="javascript:__doPostBack('ctl00$MainContent$gvACSpeeds','Location$31')" TargetMode="External"/><Relationship Id="rId149" Type="http://schemas.openxmlformats.org/officeDocument/2006/relationships/hyperlink" Target="javascript:__doPostBack('ctl00$MainContent$gvACSpeeds','Date$37')" TargetMode="External"/><Relationship Id="rId314" Type="http://schemas.openxmlformats.org/officeDocument/2006/relationships/hyperlink" Target="javascript:__doPostBack('ctl00$MainContent$gvACSpeeds','Pilot$78')" TargetMode="External"/><Relationship Id="rId335" Type="http://schemas.openxmlformats.org/officeDocument/2006/relationships/hyperlink" Target="javascript:__doPostBack('ctl00$MainContent$gvACSpeeds','Plane$83')" TargetMode="External"/><Relationship Id="rId356" Type="http://schemas.openxmlformats.org/officeDocument/2006/relationships/hyperlink" Target="javascript:__doPostBack('ctl00$MainContent$gvACSpeeds','Location$88')" TargetMode="External"/><Relationship Id="rId377" Type="http://schemas.openxmlformats.org/officeDocument/2006/relationships/hyperlink" Target="javascript:__doPostBack('ctl00$MainContent$gvACSpeeds','Date$94')" TargetMode="External"/><Relationship Id="rId398" Type="http://schemas.openxmlformats.org/officeDocument/2006/relationships/hyperlink" Target="javascript:__doPostBack('ctl00$MainContent$gvACSpeeds','Pilot$99')" TargetMode="External"/><Relationship Id="rId5" Type="http://schemas.openxmlformats.org/officeDocument/2006/relationships/hyperlink" Target="javascript:__doPostBack('ctl00$MainContent$gvACSpeeds','Date$1')" TargetMode="External"/><Relationship Id="rId95" Type="http://schemas.openxmlformats.org/officeDocument/2006/relationships/hyperlink" Target="javascript:__doPostBack('ctl00$MainContent$gvACSpeeds','Plane$23')" TargetMode="External"/><Relationship Id="rId160" Type="http://schemas.openxmlformats.org/officeDocument/2006/relationships/hyperlink" Target="javascript:__doPostBack('ctl00$MainContent$gvACSpeeds','Location$39')" TargetMode="External"/><Relationship Id="rId181" Type="http://schemas.openxmlformats.org/officeDocument/2006/relationships/hyperlink" Target="javascript:__doPostBack('ctl00$MainContent$gvACSpeeds','Date$45')" TargetMode="External"/><Relationship Id="rId216" Type="http://schemas.openxmlformats.org/officeDocument/2006/relationships/hyperlink" Target="javascript:__doPostBack('ctl00$MainContent$gvACSpeeds','Location$53')" TargetMode="External"/><Relationship Id="rId237" Type="http://schemas.openxmlformats.org/officeDocument/2006/relationships/hyperlink" Target="javascript:__doPostBack('ctl00$MainContent$gvACSpeeds','Date$59')" TargetMode="External"/><Relationship Id="rId258" Type="http://schemas.openxmlformats.org/officeDocument/2006/relationships/hyperlink" Target="javascript:__doPostBack('ctl00$MainContent$gvACSpeeds','Pilot$64')" TargetMode="External"/><Relationship Id="rId279" Type="http://schemas.openxmlformats.org/officeDocument/2006/relationships/hyperlink" Target="javascript:__doPostBack('ctl00$MainContent$gvACSpeeds','Plane$69')" TargetMode="External"/><Relationship Id="rId22" Type="http://schemas.openxmlformats.org/officeDocument/2006/relationships/hyperlink" Target="javascript:__doPostBack('ctl00$MainContent$gvACSpeeds','Pilot$5')" TargetMode="External"/><Relationship Id="rId43" Type="http://schemas.openxmlformats.org/officeDocument/2006/relationships/hyperlink" Target="javascript:__doPostBack('ctl00$MainContent$gvACSpeeds','Plane$10')" TargetMode="External"/><Relationship Id="rId64" Type="http://schemas.openxmlformats.org/officeDocument/2006/relationships/hyperlink" Target="javascript:__doPostBack('ctl00$MainContent$gvACSpeeds','Location$15')" TargetMode="External"/><Relationship Id="rId118" Type="http://schemas.openxmlformats.org/officeDocument/2006/relationships/hyperlink" Target="javascript:__doPostBack('ctl00$MainContent$gvACSpeeds','Pilot$29')" TargetMode="External"/><Relationship Id="rId139" Type="http://schemas.openxmlformats.org/officeDocument/2006/relationships/hyperlink" Target="javascript:__doPostBack('ctl00$MainContent$gvACSpeeds','Plane$34')" TargetMode="External"/><Relationship Id="rId290" Type="http://schemas.openxmlformats.org/officeDocument/2006/relationships/hyperlink" Target="javascript:__doPostBack('ctl00$MainContent$gvACSpeeds','Pilot$72')" TargetMode="External"/><Relationship Id="rId304" Type="http://schemas.openxmlformats.org/officeDocument/2006/relationships/hyperlink" Target="javascript:__doPostBack('ctl00$MainContent$gvACSpeeds','Location$75')" TargetMode="External"/><Relationship Id="rId325" Type="http://schemas.openxmlformats.org/officeDocument/2006/relationships/hyperlink" Target="javascript:__doPostBack('ctl00$MainContent$gvACSpeeds','Date$81')" TargetMode="External"/><Relationship Id="rId346" Type="http://schemas.openxmlformats.org/officeDocument/2006/relationships/hyperlink" Target="javascript:__doPostBack('ctl00$MainContent$gvACSpeeds','Pilot$86')" TargetMode="External"/><Relationship Id="rId367" Type="http://schemas.openxmlformats.org/officeDocument/2006/relationships/hyperlink" Target="javascript:__doPostBack('ctl00$MainContent$gvACSpeeds','Plane$91')" TargetMode="External"/><Relationship Id="rId388" Type="http://schemas.openxmlformats.org/officeDocument/2006/relationships/hyperlink" Target="javascript:__doPostBack('ctl00$MainContent$gvACSpeeds','Location$96')" TargetMode="External"/><Relationship Id="rId85" Type="http://schemas.openxmlformats.org/officeDocument/2006/relationships/hyperlink" Target="javascript:__doPostBack('ctl00$MainContent$gvACSpeeds','Date$21')" TargetMode="External"/><Relationship Id="rId150" Type="http://schemas.openxmlformats.org/officeDocument/2006/relationships/hyperlink" Target="javascript:__doPostBack('ctl00$MainContent$gvACSpeeds','Pilot$37')" TargetMode="External"/><Relationship Id="rId171" Type="http://schemas.openxmlformats.org/officeDocument/2006/relationships/hyperlink" Target="javascript:__doPostBack('ctl00$MainContent$gvACSpeeds','Plane$42')" TargetMode="External"/><Relationship Id="rId192" Type="http://schemas.openxmlformats.org/officeDocument/2006/relationships/hyperlink" Target="javascript:__doPostBack('ctl00$MainContent$gvACSpeeds','Location$47')" TargetMode="External"/><Relationship Id="rId206" Type="http://schemas.openxmlformats.org/officeDocument/2006/relationships/hyperlink" Target="javascript:__doPostBack('ctl00$MainContent$gvACSpeeds','Pilot$51')" TargetMode="External"/><Relationship Id="rId227" Type="http://schemas.openxmlformats.org/officeDocument/2006/relationships/hyperlink" Target="javascript:__doPostBack('ctl00$MainContent$gvACSpeeds','Plane$56')" TargetMode="External"/><Relationship Id="rId248" Type="http://schemas.openxmlformats.org/officeDocument/2006/relationships/hyperlink" Target="javascript:__doPostBack('ctl00$MainContent$gvACSpeeds','Location$61')" TargetMode="External"/><Relationship Id="rId269" Type="http://schemas.openxmlformats.org/officeDocument/2006/relationships/hyperlink" Target="javascript:__doPostBack('ctl00$MainContent$gvACSpeeds','Date$67')" TargetMode="External"/><Relationship Id="rId12" Type="http://schemas.openxmlformats.org/officeDocument/2006/relationships/hyperlink" Target="javascript:__doPostBack('ctl00$MainContent$gvACSpeeds','Location$2')" TargetMode="External"/><Relationship Id="rId33" Type="http://schemas.openxmlformats.org/officeDocument/2006/relationships/hyperlink" Target="javascript:__doPostBack('ctl00$MainContent$gvACSpeeds','Date$8')" TargetMode="External"/><Relationship Id="rId108" Type="http://schemas.openxmlformats.org/officeDocument/2006/relationships/hyperlink" Target="javascript:__doPostBack('ctl00$MainContent$gvACSpeeds','Location$26')" TargetMode="External"/><Relationship Id="rId129" Type="http://schemas.openxmlformats.org/officeDocument/2006/relationships/hyperlink" Target="javascript:__doPostBack('ctl00$MainContent$gvACSpeeds','Date$32')" TargetMode="External"/><Relationship Id="rId280" Type="http://schemas.openxmlformats.org/officeDocument/2006/relationships/hyperlink" Target="javascript:__doPostBack('ctl00$MainContent$gvACSpeeds','Location$69')" TargetMode="External"/><Relationship Id="rId315" Type="http://schemas.openxmlformats.org/officeDocument/2006/relationships/hyperlink" Target="javascript:__doPostBack('ctl00$MainContent$gvACSpeeds','Plane$78')" TargetMode="External"/><Relationship Id="rId336" Type="http://schemas.openxmlformats.org/officeDocument/2006/relationships/hyperlink" Target="javascript:__doPostBack('ctl00$MainContent$gvACSpeeds','Location$83')" TargetMode="External"/><Relationship Id="rId357" Type="http://schemas.openxmlformats.org/officeDocument/2006/relationships/hyperlink" Target="javascript:__doPostBack('ctl00$MainContent$gvACSpeeds','Date$89')" TargetMode="External"/><Relationship Id="rId54" Type="http://schemas.openxmlformats.org/officeDocument/2006/relationships/hyperlink" Target="javascript:__doPostBack('ctl00$MainContent$gvACSpeeds','Pilot$13')" TargetMode="External"/><Relationship Id="rId75" Type="http://schemas.openxmlformats.org/officeDocument/2006/relationships/hyperlink" Target="javascript:__doPostBack('ctl00$MainContent$gvACSpeeds','Plane$18')" TargetMode="External"/><Relationship Id="rId96" Type="http://schemas.openxmlformats.org/officeDocument/2006/relationships/hyperlink" Target="javascript:__doPostBack('ctl00$MainContent$gvACSpeeds','Location$23')" TargetMode="External"/><Relationship Id="rId140" Type="http://schemas.openxmlformats.org/officeDocument/2006/relationships/hyperlink" Target="javascript:__doPostBack('ctl00$MainContent$gvACSpeeds','Location$34')" TargetMode="External"/><Relationship Id="rId161" Type="http://schemas.openxmlformats.org/officeDocument/2006/relationships/hyperlink" Target="javascript:__doPostBack('ctl00$MainContent$gvACSpeeds','Date$40')" TargetMode="External"/><Relationship Id="rId182" Type="http://schemas.openxmlformats.org/officeDocument/2006/relationships/hyperlink" Target="javascript:__doPostBack('ctl00$MainContent$gvACSpeeds','Pilot$45')" TargetMode="External"/><Relationship Id="rId217" Type="http://schemas.openxmlformats.org/officeDocument/2006/relationships/hyperlink" Target="javascript:__doPostBack('ctl00$MainContent$gvACSpeeds','Date$54')" TargetMode="External"/><Relationship Id="rId378" Type="http://schemas.openxmlformats.org/officeDocument/2006/relationships/hyperlink" Target="javascript:__doPostBack('ctl00$MainContent$gvACSpeeds','Pilot$94')" TargetMode="External"/><Relationship Id="rId399" Type="http://schemas.openxmlformats.org/officeDocument/2006/relationships/hyperlink" Target="javascript:__doPostBack('ctl00$MainContent$gvACSpeeds','Plane$99')" TargetMode="External"/><Relationship Id="rId6" Type="http://schemas.openxmlformats.org/officeDocument/2006/relationships/hyperlink" Target="javascript:__doPostBack('ctl00$MainContent$gvACSpeeds','Pilot$1')" TargetMode="External"/><Relationship Id="rId238" Type="http://schemas.openxmlformats.org/officeDocument/2006/relationships/hyperlink" Target="javascript:__doPostBack('ctl00$MainContent$gvACSpeeds','Pilot$59')" TargetMode="External"/><Relationship Id="rId259" Type="http://schemas.openxmlformats.org/officeDocument/2006/relationships/hyperlink" Target="javascript:__doPostBack('ctl00$MainContent$gvACSpeeds','Plane$64')" TargetMode="External"/><Relationship Id="rId23" Type="http://schemas.openxmlformats.org/officeDocument/2006/relationships/hyperlink" Target="javascript:__doPostBack('ctl00$MainContent$gvACSpeeds','Plane$5')" TargetMode="External"/><Relationship Id="rId119" Type="http://schemas.openxmlformats.org/officeDocument/2006/relationships/hyperlink" Target="javascript:__doPostBack('ctl00$MainContent$gvACSpeeds','Plane$29')" TargetMode="External"/><Relationship Id="rId270" Type="http://schemas.openxmlformats.org/officeDocument/2006/relationships/hyperlink" Target="javascript:__doPostBack('ctl00$MainContent$gvACSpeeds','Pilot$67')" TargetMode="External"/><Relationship Id="rId291" Type="http://schemas.openxmlformats.org/officeDocument/2006/relationships/hyperlink" Target="javascript:__doPostBack('ctl00$MainContent$gvACSpeeds','Plane$72')" TargetMode="External"/><Relationship Id="rId305" Type="http://schemas.openxmlformats.org/officeDocument/2006/relationships/hyperlink" Target="javascript:__doPostBack('ctl00$MainContent$gvACSpeeds','Date$76')" TargetMode="External"/><Relationship Id="rId326" Type="http://schemas.openxmlformats.org/officeDocument/2006/relationships/hyperlink" Target="javascript:__doPostBack('ctl00$MainContent$gvACSpeeds','Pilot$81')" TargetMode="External"/><Relationship Id="rId347" Type="http://schemas.openxmlformats.org/officeDocument/2006/relationships/hyperlink" Target="javascript:__doPostBack('ctl00$MainContent$gvACSpeeds','Plane$86')" TargetMode="External"/><Relationship Id="rId44" Type="http://schemas.openxmlformats.org/officeDocument/2006/relationships/hyperlink" Target="javascript:__doPostBack('ctl00$MainContent$gvACSpeeds','Location$10')" TargetMode="External"/><Relationship Id="rId65" Type="http://schemas.openxmlformats.org/officeDocument/2006/relationships/hyperlink" Target="javascript:__doPostBack('ctl00$MainContent$gvACSpeeds','Date$16')" TargetMode="External"/><Relationship Id="rId86" Type="http://schemas.openxmlformats.org/officeDocument/2006/relationships/hyperlink" Target="javascript:__doPostBack('ctl00$MainContent$gvACSpeeds','Pilot$21')" TargetMode="External"/><Relationship Id="rId130" Type="http://schemas.openxmlformats.org/officeDocument/2006/relationships/hyperlink" Target="javascript:__doPostBack('ctl00$MainContent$gvACSpeeds','Pilot$32')" TargetMode="External"/><Relationship Id="rId151" Type="http://schemas.openxmlformats.org/officeDocument/2006/relationships/hyperlink" Target="javascript:__doPostBack('ctl00$MainContent$gvACSpeeds','Plane$37')" TargetMode="External"/><Relationship Id="rId368" Type="http://schemas.openxmlformats.org/officeDocument/2006/relationships/hyperlink" Target="javascript:__doPostBack('ctl00$MainContent$gvACSpeeds','Location$91')" TargetMode="External"/><Relationship Id="rId389" Type="http://schemas.openxmlformats.org/officeDocument/2006/relationships/hyperlink" Target="javascript:__doPostBack('ctl00$MainContent$gvACSpeeds','Date$97')" TargetMode="External"/><Relationship Id="rId172" Type="http://schemas.openxmlformats.org/officeDocument/2006/relationships/hyperlink" Target="javascript:__doPostBack('ctl00$MainContent$gvACSpeeds','Location$42')" TargetMode="External"/><Relationship Id="rId193" Type="http://schemas.openxmlformats.org/officeDocument/2006/relationships/hyperlink" Target="javascript:__doPostBack('ctl00$MainContent$gvACSpeeds','Date$48')" TargetMode="External"/><Relationship Id="rId207" Type="http://schemas.openxmlformats.org/officeDocument/2006/relationships/hyperlink" Target="javascript:__doPostBack('ctl00$MainContent$gvACSpeeds','Plane$51')" TargetMode="External"/><Relationship Id="rId228" Type="http://schemas.openxmlformats.org/officeDocument/2006/relationships/hyperlink" Target="javascript:__doPostBack('ctl00$MainContent$gvACSpeeds','Location$56')" TargetMode="External"/><Relationship Id="rId249" Type="http://schemas.openxmlformats.org/officeDocument/2006/relationships/hyperlink" Target="javascript:__doPostBack('ctl00$MainContent$gvACSpeeds','Date$62')" TargetMode="External"/><Relationship Id="rId13" Type="http://schemas.openxmlformats.org/officeDocument/2006/relationships/hyperlink" Target="javascript:__doPostBack('ctl00$MainContent$gvACSpeeds','Date$3')" TargetMode="External"/><Relationship Id="rId109" Type="http://schemas.openxmlformats.org/officeDocument/2006/relationships/hyperlink" Target="javascript:__doPostBack('ctl00$MainContent$gvACSpeeds','Date$27')" TargetMode="External"/><Relationship Id="rId260" Type="http://schemas.openxmlformats.org/officeDocument/2006/relationships/hyperlink" Target="javascript:__doPostBack('ctl00$MainContent$gvACSpeeds','Location$64')" TargetMode="External"/><Relationship Id="rId281" Type="http://schemas.openxmlformats.org/officeDocument/2006/relationships/hyperlink" Target="javascript:__doPostBack('ctl00$MainContent$gvACSpeeds','Date$70')" TargetMode="External"/><Relationship Id="rId316" Type="http://schemas.openxmlformats.org/officeDocument/2006/relationships/hyperlink" Target="javascript:__doPostBack('ctl00$MainContent$gvACSpeeds','Location$78')" TargetMode="External"/><Relationship Id="rId337" Type="http://schemas.openxmlformats.org/officeDocument/2006/relationships/hyperlink" Target="javascript:__doPostBack('ctl00$MainContent$gvACSpeeds','Date$84')" TargetMode="External"/><Relationship Id="rId34" Type="http://schemas.openxmlformats.org/officeDocument/2006/relationships/hyperlink" Target="javascript:__doPostBack('ctl00$MainContent$gvACSpeeds','Pilot$8')" TargetMode="External"/><Relationship Id="rId55" Type="http://schemas.openxmlformats.org/officeDocument/2006/relationships/hyperlink" Target="javascript:__doPostBack('ctl00$MainContent$gvACSpeeds','Plane$13')" TargetMode="External"/><Relationship Id="rId76" Type="http://schemas.openxmlformats.org/officeDocument/2006/relationships/hyperlink" Target="javascript:__doPostBack('ctl00$MainContent$gvACSpeeds','Location$18')" TargetMode="External"/><Relationship Id="rId97" Type="http://schemas.openxmlformats.org/officeDocument/2006/relationships/hyperlink" Target="javascript:__doPostBack('ctl00$MainContent$gvACSpeeds','Date$24')" TargetMode="External"/><Relationship Id="rId120" Type="http://schemas.openxmlformats.org/officeDocument/2006/relationships/hyperlink" Target="javascript:__doPostBack('ctl00$MainContent$gvACSpeeds','Location$29')" TargetMode="External"/><Relationship Id="rId141" Type="http://schemas.openxmlformats.org/officeDocument/2006/relationships/hyperlink" Target="javascript:__doPostBack('ctl00$MainContent$gvACSpeeds','Date$35')" TargetMode="External"/><Relationship Id="rId358" Type="http://schemas.openxmlformats.org/officeDocument/2006/relationships/hyperlink" Target="javascript:__doPostBack('ctl00$MainContent$gvACSpeeds','Pilot$89')" TargetMode="External"/><Relationship Id="rId379" Type="http://schemas.openxmlformats.org/officeDocument/2006/relationships/hyperlink" Target="javascript:__doPostBack('ctl00$MainContent$gvACSpeeds','Plane$94')" TargetMode="External"/><Relationship Id="rId7" Type="http://schemas.openxmlformats.org/officeDocument/2006/relationships/hyperlink" Target="javascript:__doPostBack('ctl00$MainContent$gvACSpeeds','Plane$1')" TargetMode="External"/><Relationship Id="rId162" Type="http://schemas.openxmlformats.org/officeDocument/2006/relationships/hyperlink" Target="javascript:__doPostBack('ctl00$MainContent$gvACSpeeds','Pilot$40')" TargetMode="External"/><Relationship Id="rId183" Type="http://schemas.openxmlformats.org/officeDocument/2006/relationships/hyperlink" Target="javascript:__doPostBack('ctl00$MainContent$gvACSpeeds','Plane$45')" TargetMode="External"/><Relationship Id="rId218" Type="http://schemas.openxmlformats.org/officeDocument/2006/relationships/hyperlink" Target="javascript:__doPostBack('ctl00$MainContent$gvACSpeeds','Pilot$54')" TargetMode="External"/><Relationship Id="rId239" Type="http://schemas.openxmlformats.org/officeDocument/2006/relationships/hyperlink" Target="javascript:__doPostBack('ctl00$MainContent$gvACSpeeds','Plane$59')" TargetMode="External"/><Relationship Id="rId390" Type="http://schemas.openxmlformats.org/officeDocument/2006/relationships/hyperlink" Target="javascript:__doPostBack('ctl00$MainContent$gvACSpeeds','Pilot$97')" TargetMode="External"/><Relationship Id="rId250" Type="http://schemas.openxmlformats.org/officeDocument/2006/relationships/hyperlink" Target="javascript:__doPostBack('ctl00$MainContent$gvACSpeeds','Pilot$62')" TargetMode="External"/><Relationship Id="rId271" Type="http://schemas.openxmlformats.org/officeDocument/2006/relationships/hyperlink" Target="javascript:__doPostBack('ctl00$MainContent$gvACSpeeds','Plane$67')" TargetMode="External"/><Relationship Id="rId292" Type="http://schemas.openxmlformats.org/officeDocument/2006/relationships/hyperlink" Target="javascript:__doPostBack('ctl00$MainContent$gvACSpeeds','Location$72')" TargetMode="External"/><Relationship Id="rId306" Type="http://schemas.openxmlformats.org/officeDocument/2006/relationships/hyperlink" Target="javascript:__doPostBack('ctl00$MainContent$gvACSpeeds','Pilot$76')" TargetMode="External"/><Relationship Id="rId24" Type="http://schemas.openxmlformats.org/officeDocument/2006/relationships/hyperlink" Target="javascript:__doPostBack('ctl00$MainContent$gvACSpeeds','Location$5')" TargetMode="External"/><Relationship Id="rId45" Type="http://schemas.openxmlformats.org/officeDocument/2006/relationships/hyperlink" Target="javascript:__doPostBack('ctl00$MainContent$gvACSpeeds','Date$11')" TargetMode="External"/><Relationship Id="rId66" Type="http://schemas.openxmlformats.org/officeDocument/2006/relationships/hyperlink" Target="javascript:__doPostBack('ctl00$MainContent$gvACSpeeds','Pilot$16')" TargetMode="External"/><Relationship Id="rId87" Type="http://schemas.openxmlformats.org/officeDocument/2006/relationships/hyperlink" Target="javascript:__doPostBack('ctl00$MainContent$gvACSpeeds','Plane$21')" TargetMode="External"/><Relationship Id="rId110" Type="http://schemas.openxmlformats.org/officeDocument/2006/relationships/hyperlink" Target="javascript:__doPostBack('ctl00$MainContent$gvACSpeeds','Pilot$27')" TargetMode="External"/><Relationship Id="rId131" Type="http://schemas.openxmlformats.org/officeDocument/2006/relationships/hyperlink" Target="javascript:__doPostBack('ctl00$MainContent$gvACSpeeds','Plane$32')" TargetMode="External"/><Relationship Id="rId327" Type="http://schemas.openxmlformats.org/officeDocument/2006/relationships/hyperlink" Target="javascript:__doPostBack('ctl00$MainContent$gvACSpeeds','Plane$81')" TargetMode="External"/><Relationship Id="rId348" Type="http://schemas.openxmlformats.org/officeDocument/2006/relationships/hyperlink" Target="javascript:__doPostBack('ctl00$MainContent$gvACSpeeds','Location$86')" TargetMode="External"/><Relationship Id="rId369" Type="http://schemas.openxmlformats.org/officeDocument/2006/relationships/hyperlink" Target="javascript:__doPostBack('ctl00$MainContent$gvACSpeeds','Date$92')" TargetMode="External"/><Relationship Id="rId152" Type="http://schemas.openxmlformats.org/officeDocument/2006/relationships/hyperlink" Target="javascript:__doPostBack('ctl00$MainContent$gvACSpeeds','Location$37')" TargetMode="External"/><Relationship Id="rId173" Type="http://schemas.openxmlformats.org/officeDocument/2006/relationships/hyperlink" Target="javascript:__doPostBack('ctl00$MainContent$gvACSpeeds','Date$43')" TargetMode="External"/><Relationship Id="rId194" Type="http://schemas.openxmlformats.org/officeDocument/2006/relationships/hyperlink" Target="javascript:__doPostBack('ctl00$MainContent$gvACSpeeds','Pilot$48')" TargetMode="External"/><Relationship Id="rId208" Type="http://schemas.openxmlformats.org/officeDocument/2006/relationships/hyperlink" Target="javascript:__doPostBack('ctl00$MainContent$gvACSpeeds','Location$51')" TargetMode="External"/><Relationship Id="rId229" Type="http://schemas.openxmlformats.org/officeDocument/2006/relationships/hyperlink" Target="javascript:__doPostBack('ctl00$MainContent$gvACSpeeds','Date$57')" TargetMode="External"/><Relationship Id="rId380" Type="http://schemas.openxmlformats.org/officeDocument/2006/relationships/hyperlink" Target="javascript:__doPostBack('ctl00$MainContent$gvACSpeeds','Location$94')" TargetMode="External"/><Relationship Id="rId240" Type="http://schemas.openxmlformats.org/officeDocument/2006/relationships/hyperlink" Target="javascript:__doPostBack('ctl00$MainContent$gvACSpeeds','Location$59')" TargetMode="External"/><Relationship Id="rId261" Type="http://schemas.openxmlformats.org/officeDocument/2006/relationships/hyperlink" Target="javascript:__doPostBack('ctl00$MainContent$gvACSpeeds','Date$65')" TargetMode="External"/><Relationship Id="rId14" Type="http://schemas.openxmlformats.org/officeDocument/2006/relationships/hyperlink" Target="javascript:__doPostBack('ctl00$MainContent$gvACSpeeds','Pilot$3')" TargetMode="External"/><Relationship Id="rId35" Type="http://schemas.openxmlformats.org/officeDocument/2006/relationships/hyperlink" Target="javascript:__doPostBack('ctl00$MainContent$gvACSpeeds','Plane$8')" TargetMode="External"/><Relationship Id="rId56" Type="http://schemas.openxmlformats.org/officeDocument/2006/relationships/hyperlink" Target="javascript:__doPostBack('ctl00$MainContent$gvACSpeeds','Location$13')" TargetMode="External"/><Relationship Id="rId77" Type="http://schemas.openxmlformats.org/officeDocument/2006/relationships/hyperlink" Target="javascript:__doPostBack('ctl00$MainContent$gvACSpeeds','Date$19')" TargetMode="External"/><Relationship Id="rId100" Type="http://schemas.openxmlformats.org/officeDocument/2006/relationships/hyperlink" Target="javascript:__doPostBack('ctl00$MainContent$gvACSpeeds','Location$24')" TargetMode="External"/><Relationship Id="rId282" Type="http://schemas.openxmlformats.org/officeDocument/2006/relationships/hyperlink" Target="javascript:__doPostBack('ctl00$MainContent$gvACSpeeds','Pilot$70')" TargetMode="External"/><Relationship Id="rId317" Type="http://schemas.openxmlformats.org/officeDocument/2006/relationships/hyperlink" Target="javascript:__doPostBack('ctl00$MainContent$gvACSpeeds','Date$79')" TargetMode="External"/><Relationship Id="rId338" Type="http://schemas.openxmlformats.org/officeDocument/2006/relationships/hyperlink" Target="javascript:__doPostBack('ctl00$MainContent$gvACSpeeds','Pilot$84')" TargetMode="External"/><Relationship Id="rId359" Type="http://schemas.openxmlformats.org/officeDocument/2006/relationships/hyperlink" Target="javascript:__doPostBack('ctl00$MainContent$gvACSpeeds','Plane$89')" TargetMode="External"/><Relationship Id="rId8" Type="http://schemas.openxmlformats.org/officeDocument/2006/relationships/hyperlink" Target="javascript:__doPostBack('ctl00$MainContent$gvACSpeeds','Location$1')" TargetMode="External"/><Relationship Id="rId98" Type="http://schemas.openxmlformats.org/officeDocument/2006/relationships/hyperlink" Target="javascript:__doPostBack('ctl00$MainContent$gvACSpeeds','Pilot$24')" TargetMode="External"/><Relationship Id="rId121" Type="http://schemas.openxmlformats.org/officeDocument/2006/relationships/hyperlink" Target="javascript:__doPostBack('ctl00$MainContent$gvACSpeeds','Date$30')" TargetMode="External"/><Relationship Id="rId142" Type="http://schemas.openxmlformats.org/officeDocument/2006/relationships/hyperlink" Target="javascript:__doPostBack('ctl00$MainContent$gvACSpeeds','Pilot$35')" TargetMode="External"/><Relationship Id="rId163" Type="http://schemas.openxmlformats.org/officeDocument/2006/relationships/hyperlink" Target="javascript:__doPostBack('ctl00$MainContent$gvACSpeeds','Plane$40')" TargetMode="External"/><Relationship Id="rId184" Type="http://schemas.openxmlformats.org/officeDocument/2006/relationships/hyperlink" Target="javascript:__doPostBack('ctl00$MainContent$gvACSpeeds','Location$45')" TargetMode="External"/><Relationship Id="rId219" Type="http://schemas.openxmlformats.org/officeDocument/2006/relationships/hyperlink" Target="javascript:__doPostBack('ctl00$MainContent$gvACSpeeds','Plane$54')" TargetMode="External"/><Relationship Id="rId370" Type="http://schemas.openxmlformats.org/officeDocument/2006/relationships/hyperlink" Target="javascript:__doPostBack('ctl00$MainContent$gvACSpeeds','Pilot$92')" TargetMode="External"/><Relationship Id="rId391" Type="http://schemas.openxmlformats.org/officeDocument/2006/relationships/hyperlink" Target="javascript:__doPostBack('ctl00$MainContent$gvACSpeeds','Plane$97')" TargetMode="External"/><Relationship Id="rId230" Type="http://schemas.openxmlformats.org/officeDocument/2006/relationships/hyperlink" Target="javascript:__doPostBack('ctl00$MainContent$gvACSpeeds','Pilot$57')" TargetMode="External"/><Relationship Id="rId251" Type="http://schemas.openxmlformats.org/officeDocument/2006/relationships/hyperlink" Target="javascript:__doPostBack('ctl00$MainContent$gvACSpeeds','Plane$62')" TargetMode="External"/><Relationship Id="rId25" Type="http://schemas.openxmlformats.org/officeDocument/2006/relationships/hyperlink" Target="javascript:__doPostBack('ctl00$MainContent$gvACSpeeds','Date$6')" TargetMode="External"/><Relationship Id="rId46" Type="http://schemas.openxmlformats.org/officeDocument/2006/relationships/hyperlink" Target="javascript:__doPostBack('ctl00$MainContent$gvACSpeeds','Pilot$11')" TargetMode="External"/><Relationship Id="rId67" Type="http://schemas.openxmlformats.org/officeDocument/2006/relationships/hyperlink" Target="javascript:__doPostBack('ctl00$MainContent$gvACSpeeds','Plane$16')" TargetMode="External"/><Relationship Id="rId272" Type="http://schemas.openxmlformats.org/officeDocument/2006/relationships/hyperlink" Target="javascript:__doPostBack('ctl00$MainContent$gvACSpeeds','Location$67')" TargetMode="External"/><Relationship Id="rId293" Type="http://schemas.openxmlformats.org/officeDocument/2006/relationships/hyperlink" Target="javascript:__doPostBack('ctl00$MainContent$gvACSpeeds','Date$73')" TargetMode="External"/><Relationship Id="rId307" Type="http://schemas.openxmlformats.org/officeDocument/2006/relationships/hyperlink" Target="javascript:__doPostBack('ctl00$MainContent$gvACSpeeds','Plane$76')" TargetMode="External"/><Relationship Id="rId328" Type="http://schemas.openxmlformats.org/officeDocument/2006/relationships/hyperlink" Target="javascript:__doPostBack('ctl00$MainContent$gvACSpeeds','Location$81')" TargetMode="External"/><Relationship Id="rId349" Type="http://schemas.openxmlformats.org/officeDocument/2006/relationships/hyperlink" Target="javascript:__doPostBack('ctl00$MainContent$gvACSpeeds','Date$87')" TargetMode="External"/><Relationship Id="rId88" Type="http://schemas.openxmlformats.org/officeDocument/2006/relationships/hyperlink" Target="javascript:__doPostBack('ctl00$MainContent$gvACSpeeds','Location$21')" TargetMode="External"/><Relationship Id="rId111" Type="http://schemas.openxmlformats.org/officeDocument/2006/relationships/hyperlink" Target="javascript:__doPostBack('ctl00$MainContent$gvACSpeeds','Plane$27')" TargetMode="External"/><Relationship Id="rId132" Type="http://schemas.openxmlformats.org/officeDocument/2006/relationships/hyperlink" Target="javascript:__doPostBack('ctl00$MainContent$gvACSpeeds','Location$32')" TargetMode="External"/><Relationship Id="rId153" Type="http://schemas.openxmlformats.org/officeDocument/2006/relationships/hyperlink" Target="javascript:__doPostBack('ctl00$MainContent$gvACSpeeds','Date$38')" TargetMode="External"/><Relationship Id="rId174" Type="http://schemas.openxmlformats.org/officeDocument/2006/relationships/hyperlink" Target="javascript:__doPostBack('ctl00$MainContent$gvACSpeeds','Pilot$43')" TargetMode="External"/><Relationship Id="rId195" Type="http://schemas.openxmlformats.org/officeDocument/2006/relationships/hyperlink" Target="javascript:__doPostBack('ctl00$MainContent$gvACSpeeds','Plane$48')" TargetMode="External"/><Relationship Id="rId209" Type="http://schemas.openxmlformats.org/officeDocument/2006/relationships/hyperlink" Target="javascript:__doPostBack('ctl00$MainContent$gvACSpeeds','Date$52')" TargetMode="External"/><Relationship Id="rId360" Type="http://schemas.openxmlformats.org/officeDocument/2006/relationships/hyperlink" Target="javascript:__doPostBack('ctl00$MainContent$gvACSpeeds','Location$89')" TargetMode="External"/><Relationship Id="rId381" Type="http://schemas.openxmlformats.org/officeDocument/2006/relationships/hyperlink" Target="javascript:__doPostBack('ctl00$MainContent$gvACSpeeds','Date$95')" TargetMode="External"/><Relationship Id="rId220" Type="http://schemas.openxmlformats.org/officeDocument/2006/relationships/hyperlink" Target="javascript:__doPostBack('ctl00$MainContent$gvACSpeeds','Location$54')" TargetMode="External"/><Relationship Id="rId241" Type="http://schemas.openxmlformats.org/officeDocument/2006/relationships/hyperlink" Target="javascript:__doPostBack('ctl00$MainContent$gvACSpeeds','Date$60')" TargetMode="External"/><Relationship Id="rId15" Type="http://schemas.openxmlformats.org/officeDocument/2006/relationships/hyperlink" Target="javascript:__doPostBack('ctl00$MainContent$gvACSpeeds','Plane$3')" TargetMode="External"/><Relationship Id="rId36" Type="http://schemas.openxmlformats.org/officeDocument/2006/relationships/hyperlink" Target="javascript:__doPostBack('ctl00$MainContent$gvACSpeeds','Location$8')" TargetMode="External"/><Relationship Id="rId57" Type="http://schemas.openxmlformats.org/officeDocument/2006/relationships/hyperlink" Target="javascript:__doPostBack('ctl00$MainContent$gvACSpeeds','Date$14')" TargetMode="External"/><Relationship Id="rId262" Type="http://schemas.openxmlformats.org/officeDocument/2006/relationships/hyperlink" Target="javascript:__doPostBack('ctl00$MainContent$gvACSpeeds','Pilot$65')" TargetMode="External"/><Relationship Id="rId283" Type="http://schemas.openxmlformats.org/officeDocument/2006/relationships/hyperlink" Target="javascript:__doPostBack('ctl00$MainContent$gvACSpeeds','Plane$70')" TargetMode="External"/><Relationship Id="rId318" Type="http://schemas.openxmlformats.org/officeDocument/2006/relationships/hyperlink" Target="javascript:__doPostBack('ctl00$MainContent$gvACSpeeds','Pilot$79')" TargetMode="External"/><Relationship Id="rId339" Type="http://schemas.openxmlformats.org/officeDocument/2006/relationships/hyperlink" Target="javascript:__doPostBack('ctl00$MainContent$gvACSpeeds','Plane$84')" TargetMode="External"/><Relationship Id="rId78" Type="http://schemas.openxmlformats.org/officeDocument/2006/relationships/hyperlink" Target="javascript:__doPostBack('ctl00$MainContent$gvACSpeeds','Pilot$19')" TargetMode="External"/><Relationship Id="rId99" Type="http://schemas.openxmlformats.org/officeDocument/2006/relationships/hyperlink" Target="javascript:__doPostBack('ctl00$MainContent$gvACSpeeds','Plane$24')" TargetMode="External"/><Relationship Id="rId101" Type="http://schemas.openxmlformats.org/officeDocument/2006/relationships/hyperlink" Target="javascript:__doPostBack('ctl00$MainContent$gvACSpeeds','Date$25')" TargetMode="External"/><Relationship Id="rId122" Type="http://schemas.openxmlformats.org/officeDocument/2006/relationships/hyperlink" Target="javascript:__doPostBack('ctl00$MainContent$gvACSpeeds','Pilot$30')" TargetMode="External"/><Relationship Id="rId143" Type="http://schemas.openxmlformats.org/officeDocument/2006/relationships/hyperlink" Target="javascript:__doPostBack('ctl00$MainContent$gvACSpeeds','Plane$35')" TargetMode="External"/><Relationship Id="rId164" Type="http://schemas.openxmlformats.org/officeDocument/2006/relationships/hyperlink" Target="javascript:__doPostBack('ctl00$MainContent$gvACSpeeds','Location$40')" TargetMode="External"/><Relationship Id="rId185" Type="http://schemas.openxmlformats.org/officeDocument/2006/relationships/hyperlink" Target="javascript:__doPostBack('ctl00$MainContent$gvACSpeeds','Date$46')" TargetMode="External"/><Relationship Id="rId350" Type="http://schemas.openxmlformats.org/officeDocument/2006/relationships/hyperlink" Target="javascript:__doPostBack('ctl00$MainContent$gvACSpeeds','Pilot$87')" TargetMode="External"/><Relationship Id="rId371" Type="http://schemas.openxmlformats.org/officeDocument/2006/relationships/hyperlink" Target="javascript:__doPostBack('ctl00$MainContent$gvACSpeeds','Plane$92')" TargetMode="External"/><Relationship Id="rId9" Type="http://schemas.openxmlformats.org/officeDocument/2006/relationships/hyperlink" Target="javascript:__doPostBack('ctl00$MainContent$gvACSpeeds','Date$2')" TargetMode="External"/><Relationship Id="rId210" Type="http://schemas.openxmlformats.org/officeDocument/2006/relationships/hyperlink" Target="javascript:__doPostBack('ctl00$MainContent$gvACSpeeds','Pilot$52')" TargetMode="External"/><Relationship Id="rId392" Type="http://schemas.openxmlformats.org/officeDocument/2006/relationships/hyperlink" Target="javascript:__doPostBack('ctl00$MainContent$gvACSpeeds','Location$97')" TargetMode="External"/><Relationship Id="rId26" Type="http://schemas.openxmlformats.org/officeDocument/2006/relationships/hyperlink" Target="javascript:__doPostBack('ctl00$MainContent$gvACSpeeds','Pilot$6')" TargetMode="External"/><Relationship Id="rId231" Type="http://schemas.openxmlformats.org/officeDocument/2006/relationships/hyperlink" Target="javascript:__doPostBack('ctl00$MainContent$gvACSpeeds','Plane$57')" TargetMode="External"/><Relationship Id="rId252" Type="http://schemas.openxmlformats.org/officeDocument/2006/relationships/hyperlink" Target="javascript:__doPostBack('ctl00$MainContent$gvACSpeeds','Location$62')" TargetMode="External"/><Relationship Id="rId273" Type="http://schemas.openxmlformats.org/officeDocument/2006/relationships/hyperlink" Target="javascript:__doPostBack('ctl00$MainContent$gvACSpeeds','Date$68')" TargetMode="External"/><Relationship Id="rId294" Type="http://schemas.openxmlformats.org/officeDocument/2006/relationships/hyperlink" Target="javascript:__doPostBack('ctl00$MainContent$gvACSpeeds','Pilot$73')" TargetMode="External"/><Relationship Id="rId308" Type="http://schemas.openxmlformats.org/officeDocument/2006/relationships/hyperlink" Target="javascript:__doPostBack('ctl00$MainContent$gvACSpeeds','Location$76')" TargetMode="External"/><Relationship Id="rId329" Type="http://schemas.openxmlformats.org/officeDocument/2006/relationships/hyperlink" Target="javascript:__doPostBack('ctl00$MainContent$gvACSpeeds','Date$82')" TargetMode="External"/><Relationship Id="rId47" Type="http://schemas.openxmlformats.org/officeDocument/2006/relationships/hyperlink" Target="javascript:__doPostBack('ctl00$MainContent$gvACSpeeds','Plane$11')" TargetMode="External"/><Relationship Id="rId68" Type="http://schemas.openxmlformats.org/officeDocument/2006/relationships/hyperlink" Target="javascript:__doPostBack('ctl00$MainContent$gvACSpeeds','Location$16')" TargetMode="External"/><Relationship Id="rId89" Type="http://schemas.openxmlformats.org/officeDocument/2006/relationships/hyperlink" Target="javascript:__doPostBack('ctl00$MainContent$gvACSpeeds','Date$22')" TargetMode="External"/><Relationship Id="rId112" Type="http://schemas.openxmlformats.org/officeDocument/2006/relationships/hyperlink" Target="javascript:__doPostBack('ctl00$MainContent$gvACSpeeds','Location$27')" TargetMode="External"/><Relationship Id="rId133" Type="http://schemas.openxmlformats.org/officeDocument/2006/relationships/hyperlink" Target="javascript:__doPostBack('ctl00$MainContent$gvACSpeeds','Date$33')" TargetMode="External"/><Relationship Id="rId154" Type="http://schemas.openxmlformats.org/officeDocument/2006/relationships/hyperlink" Target="javascript:__doPostBack('ctl00$MainContent$gvACSpeeds','Pilot$38')" TargetMode="External"/><Relationship Id="rId175" Type="http://schemas.openxmlformats.org/officeDocument/2006/relationships/hyperlink" Target="javascript:__doPostBack('ctl00$MainContent$gvACSpeeds','Plane$43')" TargetMode="External"/><Relationship Id="rId340" Type="http://schemas.openxmlformats.org/officeDocument/2006/relationships/hyperlink" Target="javascript:__doPostBack('ctl00$MainContent$gvACSpeeds','Location$84')" TargetMode="External"/><Relationship Id="rId361" Type="http://schemas.openxmlformats.org/officeDocument/2006/relationships/hyperlink" Target="javascript:__doPostBack('ctl00$MainContent$gvACSpeeds','Date$90')" TargetMode="External"/><Relationship Id="rId196" Type="http://schemas.openxmlformats.org/officeDocument/2006/relationships/hyperlink" Target="javascript:__doPostBack('ctl00$MainContent$gvACSpeeds','Location$48')" TargetMode="External"/><Relationship Id="rId200" Type="http://schemas.openxmlformats.org/officeDocument/2006/relationships/hyperlink" Target="javascript:__doPostBack('ctl00$MainContent$gvACSpeeds','Location$49')" TargetMode="External"/><Relationship Id="rId382" Type="http://schemas.openxmlformats.org/officeDocument/2006/relationships/hyperlink" Target="javascript:__doPostBack('ctl00$MainContent$gvACSpeeds','Pilot$95')" TargetMode="External"/><Relationship Id="rId16" Type="http://schemas.openxmlformats.org/officeDocument/2006/relationships/hyperlink" Target="javascript:__doPostBack('ctl00$MainContent$gvACSpeeds','Location$3')" TargetMode="External"/><Relationship Id="rId221" Type="http://schemas.openxmlformats.org/officeDocument/2006/relationships/hyperlink" Target="javascript:__doPostBack('ctl00$MainContent$gvACSpeeds','Date$55')" TargetMode="External"/><Relationship Id="rId242" Type="http://schemas.openxmlformats.org/officeDocument/2006/relationships/hyperlink" Target="javascript:__doPostBack('ctl00$MainContent$gvACSpeeds','Pilot$60')" TargetMode="External"/><Relationship Id="rId263" Type="http://schemas.openxmlformats.org/officeDocument/2006/relationships/hyperlink" Target="javascript:__doPostBack('ctl00$MainContent$gvACSpeeds','Plane$65')" TargetMode="External"/><Relationship Id="rId284" Type="http://schemas.openxmlformats.org/officeDocument/2006/relationships/hyperlink" Target="javascript:__doPostBack('ctl00$MainContent$gvACSpeeds','Location$70')" TargetMode="External"/><Relationship Id="rId319" Type="http://schemas.openxmlformats.org/officeDocument/2006/relationships/hyperlink" Target="javascript:__doPostBack('ctl00$MainContent$gvACSpeeds','Plane$79')" TargetMode="External"/><Relationship Id="rId37" Type="http://schemas.openxmlformats.org/officeDocument/2006/relationships/hyperlink" Target="javascript:__doPostBack('ctl00$MainContent$gvACSpeeds','Date$9')" TargetMode="External"/><Relationship Id="rId58" Type="http://schemas.openxmlformats.org/officeDocument/2006/relationships/hyperlink" Target="javascript:__doPostBack('ctl00$MainContent$gvACSpeeds','Pilot$14')" TargetMode="External"/><Relationship Id="rId79" Type="http://schemas.openxmlformats.org/officeDocument/2006/relationships/hyperlink" Target="javascript:__doPostBack('ctl00$MainContent$gvACSpeeds','Plane$19')" TargetMode="External"/><Relationship Id="rId102" Type="http://schemas.openxmlformats.org/officeDocument/2006/relationships/hyperlink" Target="javascript:__doPostBack('ctl00$MainContent$gvACSpeeds','Pilot$25')" TargetMode="External"/><Relationship Id="rId123" Type="http://schemas.openxmlformats.org/officeDocument/2006/relationships/hyperlink" Target="javascript:__doPostBack('ctl00$MainContent$gvACSpeeds','Plane$30')" TargetMode="External"/><Relationship Id="rId144" Type="http://schemas.openxmlformats.org/officeDocument/2006/relationships/hyperlink" Target="javascript:__doPostBack('ctl00$MainContent$gvACSpeeds','Location$35')" TargetMode="External"/><Relationship Id="rId330" Type="http://schemas.openxmlformats.org/officeDocument/2006/relationships/hyperlink" Target="javascript:__doPostBack('ctl00$MainContent$gvACSpeeds','Pilot$82')" TargetMode="External"/><Relationship Id="rId90" Type="http://schemas.openxmlformats.org/officeDocument/2006/relationships/hyperlink" Target="javascript:__doPostBack('ctl00$MainContent$gvACSpeeds','Pilot$22')" TargetMode="External"/><Relationship Id="rId165" Type="http://schemas.openxmlformats.org/officeDocument/2006/relationships/hyperlink" Target="javascript:__doPostBack('ctl00$MainContent$gvACSpeeds','Date$41')" TargetMode="External"/><Relationship Id="rId186" Type="http://schemas.openxmlformats.org/officeDocument/2006/relationships/hyperlink" Target="javascript:__doPostBack('ctl00$MainContent$gvACSpeeds','Pilot$46')" TargetMode="External"/><Relationship Id="rId351" Type="http://schemas.openxmlformats.org/officeDocument/2006/relationships/hyperlink" Target="javascript:__doPostBack('ctl00$MainContent$gvACSpeeds','Plane$87')" TargetMode="External"/><Relationship Id="rId372" Type="http://schemas.openxmlformats.org/officeDocument/2006/relationships/hyperlink" Target="javascript:__doPostBack('ctl00$MainContent$gvACSpeeds','Location$92')" TargetMode="External"/><Relationship Id="rId393" Type="http://schemas.openxmlformats.org/officeDocument/2006/relationships/hyperlink" Target="javascript:__doPostBack('ctl00$MainContent$gvACSpeeds','Date$98')" TargetMode="External"/><Relationship Id="rId211" Type="http://schemas.openxmlformats.org/officeDocument/2006/relationships/hyperlink" Target="javascript:__doPostBack('ctl00$MainContent$gvACSpeeds','Plane$52')" TargetMode="External"/><Relationship Id="rId232" Type="http://schemas.openxmlformats.org/officeDocument/2006/relationships/hyperlink" Target="javascript:__doPostBack('ctl00$MainContent$gvACSpeeds','Location$57')" TargetMode="External"/><Relationship Id="rId253" Type="http://schemas.openxmlformats.org/officeDocument/2006/relationships/hyperlink" Target="javascript:__doPostBack('ctl00$MainContent$gvACSpeeds','Date$63')" TargetMode="External"/><Relationship Id="rId274" Type="http://schemas.openxmlformats.org/officeDocument/2006/relationships/hyperlink" Target="javascript:__doPostBack('ctl00$MainContent$gvACSpeeds','Pilot$68')" TargetMode="External"/><Relationship Id="rId295" Type="http://schemas.openxmlformats.org/officeDocument/2006/relationships/hyperlink" Target="javascript:__doPostBack('ctl00$MainContent$gvACSpeeds','Plane$73')" TargetMode="External"/><Relationship Id="rId309" Type="http://schemas.openxmlformats.org/officeDocument/2006/relationships/hyperlink" Target="javascript:__doPostBack('ctl00$MainContent$gvACSpeeds','Date$77')" TargetMode="External"/><Relationship Id="rId27" Type="http://schemas.openxmlformats.org/officeDocument/2006/relationships/hyperlink" Target="javascript:__doPostBack('ctl00$MainContent$gvACSpeeds','Plane$6')" TargetMode="External"/><Relationship Id="rId48" Type="http://schemas.openxmlformats.org/officeDocument/2006/relationships/hyperlink" Target="javascript:__doPostBack('ctl00$MainContent$gvACSpeeds','Location$11')" TargetMode="External"/><Relationship Id="rId69" Type="http://schemas.openxmlformats.org/officeDocument/2006/relationships/hyperlink" Target="javascript:__doPostBack('ctl00$MainContent$gvACSpeeds','Date$17')" TargetMode="External"/><Relationship Id="rId113" Type="http://schemas.openxmlformats.org/officeDocument/2006/relationships/hyperlink" Target="javascript:__doPostBack('ctl00$MainContent$gvACSpeeds','Date$28')" TargetMode="External"/><Relationship Id="rId134" Type="http://schemas.openxmlformats.org/officeDocument/2006/relationships/hyperlink" Target="javascript:__doPostBack('ctl00$MainContent$gvACSpeeds','Pilot$33')" TargetMode="External"/><Relationship Id="rId320" Type="http://schemas.openxmlformats.org/officeDocument/2006/relationships/hyperlink" Target="javascript:__doPostBack('ctl00$MainContent$gvACSpeeds','Location$79')" TargetMode="External"/><Relationship Id="rId80" Type="http://schemas.openxmlformats.org/officeDocument/2006/relationships/hyperlink" Target="javascript:__doPostBack('ctl00$MainContent$gvACSpeeds','Location$19')" TargetMode="External"/><Relationship Id="rId155" Type="http://schemas.openxmlformats.org/officeDocument/2006/relationships/hyperlink" Target="javascript:__doPostBack('ctl00$MainContent$gvACSpeeds','Plane$38')" TargetMode="External"/><Relationship Id="rId176" Type="http://schemas.openxmlformats.org/officeDocument/2006/relationships/hyperlink" Target="javascript:__doPostBack('ctl00$MainContent$gvACSpeeds','Location$43')" TargetMode="External"/><Relationship Id="rId197" Type="http://schemas.openxmlformats.org/officeDocument/2006/relationships/hyperlink" Target="javascript:__doPostBack('ctl00$MainContent$gvACSpeeds','Date$49')" TargetMode="External"/><Relationship Id="rId341" Type="http://schemas.openxmlformats.org/officeDocument/2006/relationships/hyperlink" Target="javascript:__doPostBack('ctl00$MainContent$gvACSpeeds','Date$85')" TargetMode="External"/><Relationship Id="rId362" Type="http://schemas.openxmlformats.org/officeDocument/2006/relationships/hyperlink" Target="javascript:__doPostBack('ctl00$MainContent$gvACSpeeds','Pilot$90')" TargetMode="External"/><Relationship Id="rId383" Type="http://schemas.openxmlformats.org/officeDocument/2006/relationships/hyperlink" Target="javascript:__doPostBack('ctl00$MainContent$gvACSpeeds','Plane$95')" TargetMode="External"/><Relationship Id="rId201" Type="http://schemas.openxmlformats.org/officeDocument/2006/relationships/hyperlink" Target="javascript:__doPostBack('ctl00$MainContent$gvACSpeeds','Date$50')" TargetMode="External"/><Relationship Id="rId222" Type="http://schemas.openxmlformats.org/officeDocument/2006/relationships/hyperlink" Target="javascript:__doPostBack('ctl00$MainContent$gvACSpeeds','Pilot$55')" TargetMode="External"/><Relationship Id="rId243" Type="http://schemas.openxmlformats.org/officeDocument/2006/relationships/hyperlink" Target="javascript:__doPostBack('ctl00$MainContent$gvACSpeeds','Plane$60')" TargetMode="External"/><Relationship Id="rId264" Type="http://schemas.openxmlformats.org/officeDocument/2006/relationships/hyperlink" Target="javascript:__doPostBack('ctl00$MainContent$gvACSpeeds','Location$65')" TargetMode="External"/><Relationship Id="rId285" Type="http://schemas.openxmlformats.org/officeDocument/2006/relationships/hyperlink" Target="javascript:__doPostBack('ctl00$MainContent$gvACSpeeds','Date$71')" TargetMode="External"/><Relationship Id="rId17" Type="http://schemas.openxmlformats.org/officeDocument/2006/relationships/hyperlink" Target="javascript:__doPostBack('ctl00$MainContent$gvACSpeeds','Date$4')" TargetMode="External"/><Relationship Id="rId38" Type="http://schemas.openxmlformats.org/officeDocument/2006/relationships/hyperlink" Target="javascript:__doPostBack('ctl00$MainContent$gvACSpeeds','Pilot$9')" TargetMode="External"/><Relationship Id="rId59" Type="http://schemas.openxmlformats.org/officeDocument/2006/relationships/hyperlink" Target="javascript:__doPostBack('ctl00$MainContent$gvACSpeeds','Plane$14')" TargetMode="External"/><Relationship Id="rId103" Type="http://schemas.openxmlformats.org/officeDocument/2006/relationships/hyperlink" Target="javascript:__doPostBack('ctl00$MainContent$gvACSpeeds','Plane$25')" TargetMode="External"/><Relationship Id="rId124" Type="http://schemas.openxmlformats.org/officeDocument/2006/relationships/hyperlink" Target="javascript:__doPostBack('ctl00$MainContent$gvACSpeeds','Location$30')" TargetMode="External"/><Relationship Id="rId310" Type="http://schemas.openxmlformats.org/officeDocument/2006/relationships/hyperlink" Target="javascript:__doPostBack('ctl00$MainContent$gvACSpeeds','Pilot$77')" TargetMode="External"/><Relationship Id="rId70" Type="http://schemas.openxmlformats.org/officeDocument/2006/relationships/hyperlink" Target="javascript:__doPostBack('ctl00$MainContent$gvACSpeeds','Pilot$17')" TargetMode="External"/><Relationship Id="rId91" Type="http://schemas.openxmlformats.org/officeDocument/2006/relationships/hyperlink" Target="javascript:__doPostBack('ctl00$MainContent$gvACSpeeds','Plane$22')" TargetMode="External"/><Relationship Id="rId145" Type="http://schemas.openxmlformats.org/officeDocument/2006/relationships/hyperlink" Target="javascript:__doPostBack('ctl00$MainContent$gvACSpeeds','Date$36')" TargetMode="External"/><Relationship Id="rId166" Type="http://schemas.openxmlformats.org/officeDocument/2006/relationships/hyperlink" Target="javascript:__doPostBack('ctl00$MainContent$gvACSpeeds','Pilot$41')" TargetMode="External"/><Relationship Id="rId187" Type="http://schemas.openxmlformats.org/officeDocument/2006/relationships/hyperlink" Target="javascript:__doPostBack('ctl00$MainContent$gvACSpeeds','Plane$46')" TargetMode="External"/><Relationship Id="rId331" Type="http://schemas.openxmlformats.org/officeDocument/2006/relationships/hyperlink" Target="javascript:__doPostBack('ctl00$MainContent$gvACSpeeds','Plane$82')" TargetMode="External"/><Relationship Id="rId352" Type="http://schemas.openxmlformats.org/officeDocument/2006/relationships/hyperlink" Target="javascript:__doPostBack('ctl00$MainContent$gvACSpeeds','Location$87')" TargetMode="External"/><Relationship Id="rId373" Type="http://schemas.openxmlformats.org/officeDocument/2006/relationships/hyperlink" Target="javascript:__doPostBack('ctl00$MainContent$gvACSpeeds','Date$93')" TargetMode="External"/><Relationship Id="rId394" Type="http://schemas.openxmlformats.org/officeDocument/2006/relationships/hyperlink" Target="javascript:__doPostBack('ctl00$MainContent$gvACSpeeds','Pilot$98')" TargetMode="External"/><Relationship Id="rId1" Type="http://schemas.openxmlformats.org/officeDocument/2006/relationships/hyperlink" Target="javascript:__doPostBack('ctl00$MainContent$gvACSpeeds','Date$0')" TargetMode="External"/><Relationship Id="rId212" Type="http://schemas.openxmlformats.org/officeDocument/2006/relationships/hyperlink" Target="javascript:__doPostBack('ctl00$MainContent$gvACSpeeds','Location$52')" TargetMode="External"/><Relationship Id="rId233" Type="http://schemas.openxmlformats.org/officeDocument/2006/relationships/hyperlink" Target="javascript:__doPostBack('ctl00$MainContent$gvACSpeeds','Date$58')" TargetMode="External"/><Relationship Id="rId254" Type="http://schemas.openxmlformats.org/officeDocument/2006/relationships/hyperlink" Target="javascript:__doPostBack('ctl00$MainContent$gvACSpeeds','Pilot$63')" TargetMode="External"/><Relationship Id="rId28" Type="http://schemas.openxmlformats.org/officeDocument/2006/relationships/hyperlink" Target="javascript:__doPostBack('ctl00$MainContent$gvACSpeeds','Location$6')" TargetMode="External"/><Relationship Id="rId49" Type="http://schemas.openxmlformats.org/officeDocument/2006/relationships/hyperlink" Target="javascript:__doPostBack('ctl00$MainContent$gvACSpeeds','Date$12')" TargetMode="External"/><Relationship Id="rId114" Type="http://schemas.openxmlformats.org/officeDocument/2006/relationships/hyperlink" Target="javascript:__doPostBack('ctl00$MainContent$gvACSpeeds','Pilot$28')" TargetMode="External"/><Relationship Id="rId275" Type="http://schemas.openxmlformats.org/officeDocument/2006/relationships/hyperlink" Target="javascript:__doPostBack('ctl00$MainContent$gvACSpeeds','Plane$68')" TargetMode="External"/><Relationship Id="rId296" Type="http://schemas.openxmlformats.org/officeDocument/2006/relationships/hyperlink" Target="javascript:__doPostBack('ctl00$MainContent$gvACSpeeds','Location$73')" TargetMode="External"/><Relationship Id="rId300" Type="http://schemas.openxmlformats.org/officeDocument/2006/relationships/hyperlink" Target="javascript:__doPostBack('ctl00$MainContent$gvACSpeeds','Location$74')" TargetMode="External"/><Relationship Id="rId60" Type="http://schemas.openxmlformats.org/officeDocument/2006/relationships/hyperlink" Target="javascript:__doPostBack('ctl00$MainContent$gvACSpeeds','Location$14')" TargetMode="External"/><Relationship Id="rId81" Type="http://schemas.openxmlformats.org/officeDocument/2006/relationships/hyperlink" Target="javascript:__doPostBack('ctl00$MainContent$gvACSpeeds','Date$20')" TargetMode="External"/><Relationship Id="rId135" Type="http://schemas.openxmlformats.org/officeDocument/2006/relationships/hyperlink" Target="javascript:__doPostBack('ctl00$MainContent$gvACSpeeds','Plane$33')" TargetMode="External"/><Relationship Id="rId156" Type="http://schemas.openxmlformats.org/officeDocument/2006/relationships/hyperlink" Target="javascript:__doPostBack('ctl00$MainContent$gvACSpeeds','Location$38')" TargetMode="External"/><Relationship Id="rId177" Type="http://schemas.openxmlformats.org/officeDocument/2006/relationships/hyperlink" Target="javascript:__doPostBack('ctl00$MainContent$gvACSpeeds','Date$44')" TargetMode="External"/><Relationship Id="rId198" Type="http://schemas.openxmlformats.org/officeDocument/2006/relationships/hyperlink" Target="javascript:__doPostBack('ctl00$MainContent$gvACSpeeds','Pilot$49')" TargetMode="External"/><Relationship Id="rId321" Type="http://schemas.openxmlformats.org/officeDocument/2006/relationships/hyperlink" Target="javascript:__doPostBack('ctl00$MainContent$gvACSpeeds','Date$80')" TargetMode="External"/><Relationship Id="rId342" Type="http://schemas.openxmlformats.org/officeDocument/2006/relationships/hyperlink" Target="javascript:__doPostBack('ctl00$MainContent$gvACSpeeds','Pilot$85')" TargetMode="External"/><Relationship Id="rId363" Type="http://schemas.openxmlformats.org/officeDocument/2006/relationships/hyperlink" Target="javascript:__doPostBack('ctl00$MainContent$gvACSpeeds','Plane$90')" TargetMode="External"/><Relationship Id="rId384" Type="http://schemas.openxmlformats.org/officeDocument/2006/relationships/hyperlink" Target="javascript:__doPostBack('ctl00$MainContent$gvACSpeeds','Location$95')" TargetMode="External"/><Relationship Id="rId202" Type="http://schemas.openxmlformats.org/officeDocument/2006/relationships/hyperlink" Target="javascript:__doPostBack('ctl00$MainContent$gvACSpeeds','Pilot$50')" TargetMode="External"/><Relationship Id="rId223" Type="http://schemas.openxmlformats.org/officeDocument/2006/relationships/hyperlink" Target="javascript:__doPostBack('ctl00$MainContent$gvACSpeeds','Plane$55')" TargetMode="External"/><Relationship Id="rId244" Type="http://schemas.openxmlformats.org/officeDocument/2006/relationships/hyperlink" Target="javascript:__doPostBack('ctl00$MainContent$gvACSpeeds','Location$60')" TargetMode="External"/><Relationship Id="rId18" Type="http://schemas.openxmlformats.org/officeDocument/2006/relationships/hyperlink" Target="javascript:__doPostBack('ctl00$MainContent$gvACSpeeds','Pilot$4')" TargetMode="External"/><Relationship Id="rId39" Type="http://schemas.openxmlformats.org/officeDocument/2006/relationships/hyperlink" Target="javascript:__doPostBack('ctl00$MainContent$gvACSpeeds','Plane$9')" TargetMode="External"/><Relationship Id="rId265" Type="http://schemas.openxmlformats.org/officeDocument/2006/relationships/hyperlink" Target="javascript:__doPostBack('ctl00$MainContent$gvACSpeeds','Date$66')" TargetMode="External"/><Relationship Id="rId286" Type="http://schemas.openxmlformats.org/officeDocument/2006/relationships/hyperlink" Target="javascript:__doPostBack('ctl00$MainContent$gvACSpeeds','Pilot$71')" TargetMode="External"/><Relationship Id="rId50" Type="http://schemas.openxmlformats.org/officeDocument/2006/relationships/hyperlink" Target="javascript:__doPostBack('ctl00$MainContent$gvACSpeeds','Pilot$12')" TargetMode="External"/><Relationship Id="rId104" Type="http://schemas.openxmlformats.org/officeDocument/2006/relationships/hyperlink" Target="javascript:__doPostBack('ctl00$MainContent$gvACSpeeds','Location$25')" TargetMode="External"/><Relationship Id="rId125" Type="http://schemas.openxmlformats.org/officeDocument/2006/relationships/hyperlink" Target="javascript:__doPostBack('ctl00$MainContent$gvACSpeeds','Date$31')" TargetMode="External"/><Relationship Id="rId146" Type="http://schemas.openxmlformats.org/officeDocument/2006/relationships/hyperlink" Target="javascript:__doPostBack('ctl00$MainContent$gvACSpeeds','Pilot$36')" TargetMode="External"/><Relationship Id="rId167" Type="http://schemas.openxmlformats.org/officeDocument/2006/relationships/hyperlink" Target="javascript:__doPostBack('ctl00$MainContent$gvACSpeeds','Plane$41')" TargetMode="External"/><Relationship Id="rId188" Type="http://schemas.openxmlformats.org/officeDocument/2006/relationships/hyperlink" Target="javascript:__doPostBack('ctl00$MainContent$gvACSpeeds','Location$46')" TargetMode="External"/><Relationship Id="rId311" Type="http://schemas.openxmlformats.org/officeDocument/2006/relationships/hyperlink" Target="javascript:__doPostBack('ctl00$MainContent$gvACSpeeds','Plane$77')" TargetMode="External"/><Relationship Id="rId332" Type="http://schemas.openxmlformats.org/officeDocument/2006/relationships/hyperlink" Target="javascript:__doPostBack('ctl00$MainContent$gvACSpeeds','Location$82')" TargetMode="External"/><Relationship Id="rId353" Type="http://schemas.openxmlformats.org/officeDocument/2006/relationships/hyperlink" Target="javascript:__doPostBack('ctl00$MainContent$gvACSpeeds','Date$88')" TargetMode="External"/><Relationship Id="rId374" Type="http://schemas.openxmlformats.org/officeDocument/2006/relationships/hyperlink" Target="javascript:__doPostBack('ctl00$MainContent$gvACSpeeds','Pilot$93')" TargetMode="External"/><Relationship Id="rId395" Type="http://schemas.openxmlformats.org/officeDocument/2006/relationships/hyperlink" Target="javascript:__doPostBack('ctl00$MainContent$gvACSpeeds','Plane$98')" TargetMode="External"/><Relationship Id="rId71" Type="http://schemas.openxmlformats.org/officeDocument/2006/relationships/hyperlink" Target="javascript:__doPostBack('ctl00$MainContent$gvACSpeeds','Plane$17')" TargetMode="External"/><Relationship Id="rId92" Type="http://schemas.openxmlformats.org/officeDocument/2006/relationships/hyperlink" Target="javascript:__doPostBack('ctl00$MainContent$gvACSpeeds','Location$22')" TargetMode="External"/><Relationship Id="rId213" Type="http://schemas.openxmlformats.org/officeDocument/2006/relationships/hyperlink" Target="javascript:__doPostBack('ctl00$MainContent$gvACSpeeds','Date$53')" TargetMode="External"/><Relationship Id="rId234" Type="http://schemas.openxmlformats.org/officeDocument/2006/relationships/hyperlink" Target="javascript:__doPostBack('ctl00$MainContent$gvACSpeeds','Pilot$58')" TargetMode="External"/><Relationship Id="rId2" Type="http://schemas.openxmlformats.org/officeDocument/2006/relationships/hyperlink" Target="javascript:__doPostBack('ctl00$MainContent$gvACSpeeds','Pilot$0')" TargetMode="External"/><Relationship Id="rId29" Type="http://schemas.openxmlformats.org/officeDocument/2006/relationships/hyperlink" Target="javascript:__doPostBack('ctl00$MainContent$gvACSpeeds','Date$7')" TargetMode="External"/><Relationship Id="rId255" Type="http://schemas.openxmlformats.org/officeDocument/2006/relationships/hyperlink" Target="javascript:__doPostBack('ctl00$MainContent$gvACSpeeds','Plane$63')" TargetMode="External"/><Relationship Id="rId276" Type="http://schemas.openxmlformats.org/officeDocument/2006/relationships/hyperlink" Target="javascript:__doPostBack('ctl00$MainContent$gvACSpeeds','Location$68')" TargetMode="External"/><Relationship Id="rId297" Type="http://schemas.openxmlformats.org/officeDocument/2006/relationships/hyperlink" Target="javascript:__doPostBack('ctl00$MainContent$gvACSpeeds','Date$74')" TargetMode="External"/><Relationship Id="rId40" Type="http://schemas.openxmlformats.org/officeDocument/2006/relationships/hyperlink" Target="javascript:__doPostBack('ctl00$MainContent$gvACSpeeds','Location$9')" TargetMode="External"/><Relationship Id="rId115" Type="http://schemas.openxmlformats.org/officeDocument/2006/relationships/hyperlink" Target="javascript:__doPostBack('ctl00$MainContent$gvACSpeeds','Plane$28')" TargetMode="External"/><Relationship Id="rId136" Type="http://schemas.openxmlformats.org/officeDocument/2006/relationships/hyperlink" Target="javascript:__doPostBack('ctl00$MainContent$gvACSpeeds','Location$33')" TargetMode="External"/><Relationship Id="rId157" Type="http://schemas.openxmlformats.org/officeDocument/2006/relationships/hyperlink" Target="javascript:__doPostBack('ctl00$MainContent$gvACSpeeds','Date$39')" TargetMode="External"/><Relationship Id="rId178" Type="http://schemas.openxmlformats.org/officeDocument/2006/relationships/hyperlink" Target="javascript:__doPostBack('ctl00$MainContent$gvACSpeeds','Pilot$44')" TargetMode="External"/><Relationship Id="rId301" Type="http://schemas.openxmlformats.org/officeDocument/2006/relationships/hyperlink" Target="javascript:__doPostBack('ctl00$MainContent$gvACSpeeds','Date$75')" TargetMode="External"/><Relationship Id="rId322" Type="http://schemas.openxmlformats.org/officeDocument/2006/relationships/hyperlink" Target="javascript:__doPostBack('ctl00$MainContent$gvACSpeeds','Pilot$80')" TargetMode="External"/><Relationship Id="rId343" Type="http://schemas.openxmlformats.org/officeDocument/2006/relationships/hyperlink" Target="javascript:__doPostBack('ctl00$MainContent$gvACSpeeds','Plane$85')" TargetMode="External"/><Relationship Id="rId364" Type="http://schemas.openxmlformats.org/officeDocument/2006/relationships/hyperlink" Target="javascript:__doPostBack('ctl00$MainContent$gvACSpeeds','Location$90')" TargetMode="External"/><Relationship Id="rId61" Type="http://schemas.openxmlformats.org/officeDocument/2006/relationships/hyperlink" Target="javascript:__doPostBack('ctl00$MainContent$gvACSpeeds','Date$15')" TargetMode="External"/><Relationship Id="rId82" Type="http://schemas.openxmlformats.org/officeDocument/2006/relationships/hyperlink" Target="javascript:__doPostBack('ctl00$MainContent$gvACSpeeds','Pilot$20')" TargetMode="External"/><Relationship Id="rId199" Type="http://schemas.openxmlformats.org/officeDocument/2006/relationships/hyperlink" Target="javascript:__doPostBack('ctl00$MainContent$gvACSpeeds','Plane$49')" TargetMode="External"/><Relationship Id="rId203" Type="http://schemas.openxmlformats.org/officeDocument/2006/relationships/hyperlink" Target="javascript:__doPostBack('ctl00$MainContent$gvACSpeeds','Plane$50')" TargetMode="External"/><Relationship Id="rId385" Type="http://schemas.openxmlformats.org/officeDocument/2006/relationships/hyperlink" Target="javascript:__doPostBack('ctl00$MainContent$gvACSpeeds','Date$96')" TargetMode="External"/><Relationship Id="rId19" Type="http://schemas.openxmlformats.org/officeDocument/2006/relationships/hyperlink" Target="javascript:__doPostBack('ctl00$MainContent$gvACSpeeds','Plane$4')" TargetMode="External"/><Relationship Id="rId224" Type="http://schemas.openxmlformats.org/officeDocument/2006/relationships/hyperlink" Target="javascript:__doPostBack('ctl00$MainContent$gvACSpeeds','Location$55')" TargetMode="External"/><Relationship Id="rId245" Type="http://schemas.openxmlformats.org/officeDocument/2006/relationships/hyperlink" Target="javascript:__doPostBack('ctl00$MainContent$gvACSpeeds','Date$61')" TargetMode="External"/><Relationship Id="rId266" Type="http://schemas.openxmlformats.org/officeDocument/2006/relationships/hyperlink" Target="javascript:__doPostBack('ctl00$MainContent$gvACSpeeds','Pilot$66')" TargetMode="External"/><Relationship Id="rId287" Type="http://schemas.openxmlformats.org/officeDocument/2006/relationships/hyperlink" Target="javascript:__doPostBack('ctl00$MainContent$gvACSpeeds','Plane$71')" TargetMode="External"/><Relationship Id="rId30" Type="http://schemas.openxmlformats.org/officeDocument/2006/relationships/hyperlink" Target="javascript:__doPostBack('ctl00$MainContent$gvACSpeeds','Pilot$7')" TargetMode="External"/><Relationship Id="rId105" Type="http://schemas.openxmlformats.org/officeDocument/2006/relationships/hyperlink" Target="javascript:__doPostBack('ctl00$MainContent$gvACSpeeds','Date$26')" TargetMode="External"/><Relationship Id="rId126" Type="http://schemas.openxmlformats.org/officeDocument/2006/relationships/hyperlink" Target="javascript:__doPostBack('ctl00$MainContent$gvACSpeeds','Pilot$31')" TargetMode="External"/><Relationship Id="rId147" Type="http://schemas.openxmlformats.org/officeDocument/2006/relationships/hyperlink" Target="javascript:__doPostBack('ctl00$MainContent$gvACSpeeds','Plane$36')" TargetMode="External"/><Relationship Id="rId168" Type="http://schemas.openxmlformats.org/officeDocument/2006/relationships/hyperlink" Target="javascript:__doPostBack('ctl00$MainContent$gvACSpeeds','Location$41')" TargetMode="External"/><Relationship Id="rId312" Type="http://schemas.openxmlformats.org/officeDocument/2006/relationships/hyperlink" Target="javascript:__doPostBack('ctl00$MainContent$gvACSpeeds','Location$77')" TargetMode="External"/><Relationship Id="rId333" Type="http://schemas.openxmlformats.org/officeDocument/2006/relationships/hyperlink" Target="javascript:__doPostBack('ctl00$MainContent$gvACSpeeds','Date$83')" TargetMode="External"/><Relationship Id="rId354" Type="http://schemas.openxmlformats.org/officeDocument/2006/relationships/hyperlink" Target="javascript:__doPostBack('ctl00$MainContent$gvACSpeeds','Pilot$88')" TargetMode="External"/><Relationship Id="rId51" Type="http://schemas.openxmlformats.org/officeDocument/2006/relationships/hyperlink" Target="javascript:__doPostBack('ctl00$MainContent$gvACSpeeds','Plane$12')" TargetMode="External"/><Relationship Id="rId72" Type="http://schemas.openxmlformats.org/officeDocument/2006/relationships/hyperlink" Target="javascript:__doPostBack('ctl00$MainContent$gvACSpeeds','Location$17')" TargetMode="External"/><Relationship Id="rId93" Type="http://schemas.openxmlformats.org/officeDocument/2006/relationships/hyperlink" Target="javascript:__doPostBack('ctl00$MainContent$gvACSpeeds','Date$23')" TargetMode="External"/><Relationship Id="rId189" Type="http://schemas.openxmlformats.org/officeDocument/2006/relationships/hyperlink" Target="javascript:__doPostBack('ctl00$MainContent$gvACSpeeds','Date$47')" TargetMode="External"/><Relationship Id="rId375" Type="http://schemas.openxmlformats.org/officeDocument/2006/relationships/hyperlink" Target="javascript:__doPostBack('ctl00$MainContent$gvACSpeeds','Plane$93')" TargetMode="External"/><Relationship Id="rId396" Type="http://schemas.openxmlformats.org/officeDocument/2006/relationships/hyperlink" Target="javascript:__doPostBack('ctl00$MainContent$gvACSpeeds','Location$98')" TargetMode="External"/><Relationship Id="rId3" Type="http://schemas.openxmlformats.org/officeDocument/2006/relationships/hyperlink" Target="javascript:__doPostBack('ctl00$MainContent$gvACSpeeds','Plane$0')" TargetMode="External"/><Relationship Id="rId214" Type="http://schemas.openxmlformats.org/officeDocument/2006/relationships/hyperlink" Target="javascript:__doPostBack('ctl00$MainContent$gvACSpeeds','Pilot$53')" TargetMode="External"/><Relationship Id="rId235" Type="http://schemas.openxmlformats.org/officeDocument/2006/relationships/hyperlink" Target="javascript:__doPostBack('ctl00$MainContent$gvACSpeeds','Plane$58')" TargetMode="External"/><Relationship Id="rId256" Type="http://schemas.openxmlformats.org/officeDocument/2006/relationships/hyperlink" Target="javascript:__doPostBack('ctl00$MainContent$gvACSpeeds','Location$63')" TargetMode="External"/><Relationship Id="rId277" Type="http://schemas.openxmlformats.org/officeDocument/2006/relationships/hyperlink" Target="javascript:__doPostBack('ctl00$MainContent$gvACSpeeds','Date$69')" TargetMode="External"/><Relationship Id="rId298" Type="http://schemas.openxmlformats.org/officeDocument/2006/relationships/hyperlink" Target="javascript:__doPostBack('ctl00$MainContent$gvACSpeeds','Pilot$74')" TargetMode="External"/><Relationship Id="rId400" Type="http://schemas.openxmlformats.org/officeDocument/2006/relationships/hyperlink" Target="javascript:__doPostBack('ctl00$MainContent$gvACSpeeds','Location$99')" TargetMode="External"/><Relationship Id="rId116" Type="http://schemas.openxmlformats.org/officeDocument/2006/relationships/hyperlink" Target="javascript:__doPostBack('ctl00$MainContent$gvACSpeeds','Location$28')" TargetMode="External"/><Relationship Id="rId137" Type="http://schemas.openxmlformats.org/officeDocument/2006/relationships/hyperlink" Target="javascript:__doPostBack('ctl00$MainContent$gvACSpeeds','Date$34')" TargetMode="External"/><Relationship Id="rId158" Type="http://schemas.openxmlformats.org/officeDocument/2006/relationships/hyperlink" Target="javascript:__doPostBack('ctl00$MainContent$gvACSpeeds','Pilot$39')" TargetMode="External"/><Relationship Id="rId302" Type="http://schemas.openxmlformats.org/officeDocument/2006/relationships/hyperlink" Target="javascript:__doPostBack('ctl00$MainContent$gvACSpeeds','Pilot$75')" TargetMode="External"/><Relationship Id="rId323" Type="http://schemas.openxmlformats.org/officeDocument/2006/relationships/hyperlink" Target="javascript:__doPostBack('ctl00$MainContent$gvACSpeeds','Plane$80')" TargetMode="External"/><Relationship Id="rId344" Type="http://schemas.openxmlformats.org/officeDocument/2006/relationships/hyperlink" Target="javascript:__doPostBack('ctl00$MainContent$gvACSpeeds','Location$85')" TargetMode="External"/><Relationship Id="rId20" Type="http://schemas.openxmlformats.org/officeDocument/2006/relationships/hyperlink" Target="javascript:__doPostBack('ctl00$MainContent$gvACSpeeds','Location$4')" TargetMode="External"/><Relationship Id="rId41" Type="http://schemas.openxmlformats.org/officeDocument/2006/relationships/hyperlink" Target="javascript:__doPostBack('ctl00$MainContent$gvACSpeeds','Date$10')" TargetMode="External"/><Relationship Id="rId62" Type="http://schemas.openxmlformats.org/officeDocument/2006/relationships/hyperlink" Target="javascript:__doPostBack('ctl00$MainContent$gvACSpeeds','Pilot$15')" TargetMode="External"/><Relationship Id="rId83" Type="http://schemas.openxmlformats.org/officeDocument/2006/relationships/hyperlink" Target="javascript:__doPostBack('ctl00$MainContent$gvACSpeeds','Plane$20')" TargetMode="External"/><Relationship Id="rId179" Type="http://schemas.openxmlformats.org/officeDocument/2006/relationships/hyperlink" Target="javascript:__doPostBack('ctl00$MainContent$gvACSpeeds','Plane$44')" TargetMode="External"/><Relationship Id="rId365" Type="http://schemas.openxmlformats.org/officeDocument/2006/relationships/hyperlink" Target="javascript:__doPostBack('ctl00$MainContent$gvACSpeeds','Date$91')" TargetMode="External"/><Relationship Id="rId386" Type="http://schemas.openxmlformats.org/officeDocument/2006/relationships/hyperlink" Target="javascript:__doPostBack('ctl00$MainContent$gvACSpeeds','Pilot$96')" TargetMode="External"/><Relationship Id="rId190" Type="http://schemas.openxmlformats.org/officeDocument/2006/relationships/hyperlink" Target="javascript:__doPostBack('ctl00$MainContent$gvACSpeeds','Pilot$47')" TargetMode="External"/><Relationship Id="rId204" Type="http://schemas.openxmlformats.org/officeDocument/2006/relationships/hyperlink" Target="javascript:__doPostBack('ctl00$MainContent$gvACSpeeds','Location$50')" TargetMode="External"/><Relationship Id="rId225" Type="http://schemas.openxmlformats.org/officeDocument/2006/relationships/hyperlink" Target="javascript:__doPostBack('ctl00$MainContent$gvACSpeeds','Date$56')" TargetMode="External"/><Relationship Id="rId246" Type="http://schemas.openxmlformats.org/officeDocument/2006/relationships/hyperlink" Target="javascript:__doPostBack('ctl00$MainContent$gvACSpeeds','Pilot$61')" TargetMode="External"/><Relationship Id="rId267" Type="http://schemas.openxmlformats.org/officeDocument/2006/relationships/hyperlink" Target="javascript:__doPostBack('ctl00$MainContent$gvACSpeeds','Plane$66')" TargetMode="External"/><Relationship Id="rId288" Type="http://schemas.openxmlformats.org/officeDocument/2006/relationships/hyperlink" Target="javascript:__doPostBack('ctl00$MainContent$gvACSpeeds','Location$71')" TargetMode="External"/><Relationship Id="rId106" Type="http://schemas.openxmlformats.org/officeDocument/2006/relationships/hyperlink" Target="javascript:__doPostBack('ctl00$MainContent$gvACSpeeds','Pilot$26')" TargetMode="External"/><Relationship Id="rId127" Type="http://schemas.openxmlformats.org/officeDocument/2006/relationships/hyperlink" Target="javascript:__doPostBack('ctl00$MainContent$gvACSpeeds','Plane$31')" TargetMode="External"/><Relationship Id="rId313" Type="http://schemas.openxmlformats.org/officeDocument/2006/relationships/hyperlink" Target="javascript:__doPostBack('ctl00$MainContent$gvACSpeeds','Date$78')" TargetMode="External"/><Relationship Id="rId10" Type="http://schemas.openxmlformats.org/officeDocument/2006/relationships/hyperlink" Target="javascript:__doPostBack('ctl00$MainContent$gvACSpeeds','Pilot$2')" TargetMode="External"/><Relationship Id="rId31" Type="http://schemas.openxmlformats.org/officeDocument/2006/relationships/hyperlink" Target="javascript:__doPostBack('ctl00$MainContent$gvACSpeeds','Plane$7')" TargetMode="External"/><Relationship Id="rId52" Type="http://schemas.openxmlformats.org/officeDocument/2006/relationships/hyperlink" Target="javascript:__doPostBack('ctl00$MainContent$gvACSpeeds','Location$12')" TargetMode="External"/><Relationship Id="rId73" Type="http://schemas.openxmlformats.org/officeDocument/2006/relationships/hyperlink" Target="javascript:__doPostBack('ctl00$MainContent$gvACSpeeds','Date$18')" TargetMode="External"/><Relationship Id="rId94" Type="http://schemas.openxmlformats.org/officeDocument/2006/relationships/hyperlink" Target="javascript:__doPostBack('ctl00$MainContent$gvACSpeeds','Pilot$23')" TargetMode="External"/><Relationship Id="rId148" Type="http://schemas.openxmlformats.org/officeDocument/2006/relationships/hyperlink" Target="javascript:__doPostBack('ctl00$MainContent$gvACSpeeds','Location$36')" TargetMode="External"/><Relationship Id="rId169" Type="http://schemas.openxmlformats.org/officeDocument/2006/relationships/hyperlink" Target="javascript:__doPostBack('ctl00$MainContent$gvACSpeeds','Date$42')" TargetMode="External"/><Relationship Id="rId334" Type="http://schemas.openxmlformats.org/officeDocument/2006/relationships/hyperlink" Target="javascript:__doPostBack('ctl00$MainContent$gvACSpeeds','Pilot$83')" TargetMode="External"/><Relationship Id="rId355" Type="http://schemas.openxmlformats.org/officeDocument/2006/relationships/hyperlink" Target="javascript:__doPostBack('ctl00$MainContent$gvACSpeeds','Plane$88')" TargetMode="External"/><Relationship Id="rId376" Type="http://schemas.openxmlformats.org/officeDocument/2006/relationships/hyperlink" Target="javascript:__doPostBack('ctl00$MainContent$gvACSpeeds','Location$93')" TargetMode="External"/><Relationship Id="rId397" Type="http://schemas.openxmlformats.org/officeDocument/2006/relationships/hyperlink" Target="javascript:__doPostBack('ctl00$MainContent$gvACSpeeds','Date$99')" TargetMode="External"/><Relationship Id="rId4" Type="http://schemas.openxmlformats.org/officeDocument/2006/relationships/hyperlink" Target="javascript:__doPostBack('ctl00$MainContent$gvACSpeeds','Location$0')" TargetMode="External"/><Relationship Id="rId180" Type="http://schemas.openxmlformats.org/officeDocument/2006/relationships/hyperlink" Target="javascript:__doPostBack('ctl00$MainContent$gvACSpeeds','Location$44')" TargetMode="External"/><Relationship Id="rId215" Type="http://schemas.openxmlformats.org/officeDocument/2006/relationships/hyperlink" Target="javascript:__doPostBack('ctl00$MainContent$gvACSpeeds','Plane$53')" TargetMode="External"/><Relationship Id="rId236" Type="http://schemas.openxmlformats.org/officeDocument/2006/relationships/hyperlink" Target="javascript:__doPostBack('ctl00$MainContent$gvACSpeeds','Location$58')" TargetMode="External"/><Relationship Id="rId257" Type="http://schemas.openxmlformats.org/officeDocument/2006/relationships/hyperlink" Target="javascript:__doPostBack('ctl00$MainContent$gvACSpeeds','Date$64')" TargetMode="External"/><Relationship Id="rId278" Type="http://schemas.openxmlformats.org/officeDocument/2006/relationships/hyperlink" Target="javascript:__doPostBack('ctl00$MainContent$gvACSpeeds','Pilot$69')" TargetMode="External"/><Relationship Id="rId401" Type="http://schemas.openxmlformats.org/officeDocument/2006/relationships/drawing" Target="../drawings/drawing1.xml"/><Relationship Id="rId303" Type="http://schemas.openxmlformats.org/officeDocument/2006/relationships/hyperlink" Target="javascript:__doPostBack('ctl00$MainContent$gvACSpeeds','Plane$75')" TargetMode="External"/><Relationship Id="rId42" Type="http://schemas.openxmlformats.org/officeDocument/2006/relationships/hyperlink" Target="javascript:__doPostBack('ctl00$MainContent$gvACSpeeds','Pilot$10')" TargetMode="External"/><Relationship Id="rId84" Type="http://schemas.openxmlformats.org/officeDocument/2006/relationships/hyperlink" Target="javascript:__doPostBack('ctl00$MainContent$gvACSpeeds','Location$20')" TargetMode="External"/><Relationship Id="rId138" Type="http://schemas.openxmlformats.org/officeDocument/2006/relationships/hyperlink" Target="javascript:__doPostBack('ctl00$MainContent$gvACSpeeds','Pilot$34')" TargetMode="External"/><Relationship Id="rId345" Type="http://schemas.openxmlformats.org/officeDocument/2006/relationships/hyperlink" Target="javascript:__doPostBack('ctl00$MainContent$gvACSpeeds','Date$86')" TargetMode="External"/><Relationship Id="rId387" Type="http://schemas.openxmlformats.org/officeDocument/2006/relationships/hyperlink" Target="javascript:__doPostBack('ctl00$MainContent$gvACSpeeds','Plane$96')" TargetMode="External"/><Relationship Id="rId191" Type="http://schemas.openxmlformats.org/officeDocument/2006/relationships/hyperlink" Target="javascript:__doPostBack('ctl00$MainContent$gvACSpeeds','Plane$47')" TargetMode="External"/><Relationship Id="rId205" Type="http://schemas.openxmlformats.org/officeDocument/2006/relationships/hyperlink" Target="javascript:__doPostBack('ctl00$MainContent$gvACSpeeds','Date$51')" TargetMode="External"/><Relationship Id="rId247" Type="http://schemas.openxmlformats.org/officeDocument/2006/relationships/hyperlink" Target="javascript:__doPostBack('ctl00$MainContent$gvACSpeeds','Plane$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CA64-582F-4D57-BE4D-DD6D3804E156}">
  <dimension ref="A1:L101"/>
  <sheetViews>
    <sheetView tabSelected="1" topLeftCell="A2" workbookViewId="0">
      <selection activeCell="A24" sqref="A24"/>
    </sheetView>
  </sheetViews>
  <sheetFormatPr baseColWidth="10" defaultRowHeight="15" x14ac:dyDescent="0.25"/>
  <cols>
    <col min="1" max="1" width="11.42578125" style="13"/>
    <col min="4" max="4" width="11.85546875" bestFit="1" customWidth="1"/>
  </cols>
  <sheetData>
    <row r="1" spans="1:12" x14ac:dyDescent="0.25">
      <c r="A1" s="13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K1" t="s">
        <v>258</v>
      </c>
      <c r="L1" t="s">
        <v>259</v>
      </c>
    </row>
    <row r="2" spans="1:12" ht="30" x14ac:dyDescent="0.25">
      <c r="A2" s="14">
        <v>41030</v>
      </c>
      <c r="B2" s="4" t="s">
        <v>199</v>
      </c>
      <c r="C2" s="5">
        <v>279</v>
      </c>
      <c r="D2" s="5">
        <f>CONVERT(C2,"mph","km/h")</f>
        <v>449.00697599999995</v>
      </c>
      <c r="E2" s="4" t="s">
        <v>115</v>
      </c>
      <c r="F2" s="4" t="s">
        <v>200</v>
      </c>
      <c r="G2" s="6" t="s">
        <v>201</v>
      </c>
      <c r="H2" s="7" t="s">
        <v>58</v>
      </c>
      <c r="I2">
        <f>IFERROR(YEAR(A2),RIGHT(A2,4)*1)</f>
        <v>2012</v>
      </c>
      <c r="K2" cm="1">
        <f t="array" ref="K2:K22">_xlfn._xlws.SORT(_xlfn.UNIQUE(I2:I101))</f>
        <v>2006</v>
      </c>
      <c r="L2" s="17">
        <f>_xlfn.MAXIFS($D$2:$D$101,$I$2:$I$101,K2)</f>
        <v>486.02188799999999</v>
      </c>
    </row>
    <row r="3" spans="1:12" ht="30" x14ac:dyDescent="0.25">
      <c r="A3" s="15" t="s">
        <v>210</v>
      </c>
      <c r="B3" s="2" t="s">
        <v>197</v>
      </c>
      <c r="C3" s="1">
        <v>279</v>
      </c>
      <c r="D3" s="5">
        <f>CONVERT(C3,"mph","km/h")</f>
        <v>449.00697599999995</v>
      </c>
      <c r="E3" s="2" t="s">
        <v>198</v>
      </c>
      <c r="F3" s="2" t="s">
        <v>25</v>
      </c>
      <c r="G3" s="3" t="s">
        <v>51</v>
      </c>
      <c r="H3" s="8" t="s">
        <v>27</v>
      </c>
      <c r="I3">
        <f t="shared" ref="I3:I66" si="0">IFERROR(YEAR(A3),RIGHT(A3,4)*1)</f>
        <v>2010</v>
      </c>
      <c r="K3">
        <v>2007</v>
      </c>
      <c r="L3" s="17">
        <f t="shared" ref="L3:L22" si="1">_xlfn.MAXIFS($D$2:$D$101,$I$2:$I$101,K3)</f>
        <v>495.677952</v>
      </c>
    </row>
    <row r="4" spans="1:12" ht="30" x14ac:dyDescent="0.25">
      <c r="A4" s="15">
        <v>44166</v>
      </c>
      <c r="B4" s="2" t="s">
        <v>194</v>
      </c>
      <c r="C4" s="1">
        <v>280</v>
      </c>
      <c r="D4" s="5">
        <f>CONVERT(C4,"mph","km/h")</f>
        <v>450.61632000000003</v>
      </c>
      <c r="E4" s="2" t="s">
        <v>195</v>
      </c>
      <c r="F4" s="2" t="s">
        <v>56</v>
      </c>
      <c r="G4" s="3" t="s">
        <v>196</v>
      </c>
      <c r="H4" s="8" t="s">
        <v>4</v>
      </c>
      <c r="I4">
        <f t="shared" si="0"/>
        <v>2020</v>
      </c>
      <c r="K4">
        <v>2008</v>
      </c>
      <c r="L4" s="17">
        <f t="shared" si="1"/>
        <v>500.50598400000001</v>
      </c>
    </row>
    <row r="5" spans="1:12" ht="30" x14ac:dyDescent="0.25">
      <c r="A5" s="15">
        <v>40674</v>
      </c>
      <c r="B5" s="2" t="s">
        <v>190</v>
      </c>
      <c r="C5" s="1">
        <v>281</v>
      </c>
      <c r="D5" s="5">
        <f>CONVERT(C5,"mph","km/h")</f>
        <v>452.22566399999999</v>
      </c>
      <c r="E5" s="2" t="s">
        <v>19</v>
      </c>
      <c r="F5" s="2" t="s">
        <v>191</v>
      </c>
      <c r="G5" s="3" t="s">
        <v>192</v>
      </c>
      <c r="H5" s="8" t="s">
        <v>58</v>
      </c>
      <c r="I5">
        <f t="shared" si="0"/>
        <v>2011</v>
      </c>
      <c r="K5">
        <v>2009</v>
      </c>
      <c r="L5" s="17">
        <f t="shared" si="1"/>
        <v>547.17696000000001</v>
      </c>
    </row>
    <row r="6" spans="1:12" ht="30" x14ac:dyDescent="0.25">
      <c r="A6" s="15" t="s">
        <v>211</v>
      </c>
      <c r="B6" s="2" t="s">
        <v>193</v>
      </c>
      <c r="C6" s="1">
        <v>281</v>
      </c>
      <c r="D6" s="5">
        <f>CONVERT(C6,"mph","km/h")</f>
        <v>452.22566399999999</v>
      </c>
      <c r="E6" s="2" t="s">
        <v>89</v>
      </c>
      <c r="F6" s="2" t="s">
        <v>70</v>
      </c>
      <c r="G6" s="3" t="s">
        <v>71</v>
      </c>
      <c r="H6" s="8" t="s">
        <v>4</v>
      </c>
      <c r="I6">
        <f t="shared" si="0"/>
        <v>2023</v>
      </c>
      <c r="K6">
        <v>2010</v>
      </c>
      <c r="L6" s="17">
        <f t="shared" si="1"/>
        <v>716.15807999999993</v>
      </c>
    </row>
    <row r="7" spans="1:12" ht="30" x14ac:dyDescent="0.25">
      <c r="A7" s="15">
        <v>40493</v>
      </c>
      <c r="B7" s="2" t="s">
        <v>188</v>
      </c>
      <c r="C7" s="1">
        <v>283</v>
      </c>
      <c r="D7" s="5">
        <f>CONVERT(C7,"mph","km/h")</f>
        <v>455.44435200000004</v>
      </c>
      <c r="E7" s="2" t="s">
        <v>157</v>
      </c>
      <c r="F7" s="2" t="s">
        <v>70</v>
      </c>
      <c r="G7" s="3" t="s">
        <v>171</v>
      </c>
      <c r="H7" s="8" t="s">
        <v>105</v>
      </c>
      <c r="I7">
        <f t="shared" si="0"/>
        <v>2010</v>
      </c>
      <c r="K7">
        <v>2011</v>
      </c>
      <c r="L7" s="17">
        <f t="shared" si="1"/>
        <v>651.78431999999998</v>
      </c>
    </row>
    <row r="8" spans="1:12" ht="30" x14ac:dyDescent="0.25">
      <c r="A8" s="15" t="s">
        <v>212</v>
      </c>
      <c r="B8" s="2" t="s">
        <v>189</v>
      </c>
      <c r="C8" s="1">
        <v>283</v>
      </c>
      <c r="D8" s="5">
        <f>CONVERT(C8,"mph","km/h")</f>
        <v>455.44435200000004</v>
      </c>
      <c r="E8" s="2" t="s">
        <v>89</v>
      </c>
      <c r="F8" s="2" t="s">
        <v>25</v>
      </c>
      <c r="G8" s="3" t="s">
        <v>47</v>
      </c>
      <c r="H8" s="8" t="s">
        <v>27</v>
      </c>
      <c r="I8">
        <f t="shared" si="0"/>
        <v>2017</v>
      </c>
      <c r="K8">
        <v>2012</v>
      </c>
      <c r="L8" s="17">
        <f t="shared" si="1"/>
        <v>761.21971199999996</v>
      </c>
    </row>
    <row r="9" spans="1:12" ht="30" x14ac:dyDescent="0.25">
      <c r="A9" s="15">
        <v>40493</v>
      </c>
      <c r="B9" s="2" t="s">
        <v>184</v>
      </c>
      <c r="C9" s="1">
        <v>285</v>
      </c>
      <c r="D9" s="5">
        <f>CONVERT(C9,"mph","km/h")</f>
        <v>458.66304000000002</v>
      </c>
      <c r="E9" s="2" t="s">
        <v>185</v>
      </c>
      <c r="F9" s="2" t="s">
        <v>186</v>
      </c>
      <c r="G9" s="3" t="s">
        <v>187</v>
      </c>
      <c r="H9" s="8" t="s">
        <v>27</v>
      </c>
      <c r="I9">
        <f t="shared" si="0"/>
        <v>2010</v>
      </c>
      <c r="K9">
        <v>2013</v>
      </c>
      <c r="L9" s="17">
        <f t="shared" si="1"/>
        <v>655.00300800000002</v>
      </c>
    </row>
    <row r="10" spans="1:12" x14ac:dyDescent="0.25">
      <c r="A10" s="15">
        <v>39877</v>
      </c>
      <c r="B10" s="2" t="s">
        <v>182</v>
      </c>
      <c r="C10" s="1">
        <v>287</v>
      </c>
      <c r="D10" s="5">
        <f>CONVERT(C10,"mph","km/h")</f>
        <v>461.88172800000001</v>
      </c>
      <c r="E10" s="2" t="s">
        <v>157</v>
      </c>
      <c r="F10" s="2" t="s">
        <v>25</v>
      </c>
      <c r="G10" s="3" t="s">
        <v>183</v>
      </c>
      <c r="H10" s="8" t="s">
        <v>127</v>
      </c>
      <c r="I10">
        <f t="shared" si="0"/>
        <v>2009</v>
      </c>
      <c r="K10">
        <v>2014</v>
      </c>
      <c r="L10" s="17">
        <f t="shared" si="1"/>
        <v>646.95628800000009</v>
      </c>
    </row>
    <row r="11" spans="1:12" ht="30" x14ac:dyDescent="0.25">
      <c r="A11" s="15" t="s">
        <v>213</v>
      </c>
      <c r="B11" s="2" t="s">
        <v>180</v>
      </c>
      <c r="C11" s="1">
        <v>288</v>
      </c>
      <c r="D11" s="5">
        <f>CONVERT(C11,"mph","km/h")</f>
        <v>463.49107200000003</v>
      </c>
      <c r="E11" s="2" t="s">
        <v>173</v>
      </c>
      <c r="F11" s="2" t="s">
        <v>34</v>
      </c>
      <c r="G11" s="3" t="s">
        <v>181</v>
      </c>
      <c r="H11" s="8" t="s">
        <v>27</v>
      </c>
      <c r="I11">
        <f t="shared" si="0"/>
        <v>2018</v>
      </c>
      <c r="K11">
        <v>2015</v>
      </c>
      <c r="L11" s="17">
        <f t="shared" si="1"/>
        <v>671.09644800000001</v>
      </c>
    </row>
    <row r="12" spans="1:12" ht="30" x14ac:dyDescent="0.25">
      <c r="A12" s="15" t="s">
        <v>214</v>
      </c>
      <c r="B12" s="2" t="s">
        <v>177</v>
      </c>
      <c r="C12" s="1">
        <v>288</v>
      </c>
      <c r="D12" s="5">
        <f>CONVERT(C12,"mph","km/h")</f>
        <v>463.49107200000003</v>
      </c>
      <c r="E12" s="2" t="s">
        <v>178</v>
      </c>
      <c r="F12" s="2" t="s">
        <v>125</v>
      </c>
      <c r="G12" s="3" t="s">
        <v>145</v>
      </c>
      <c r="H12" s="8" t="s">
        <v>127</v>
      </c>
      <c r="I12">
        <f t="shared" si="0"/>
        <v>2007</v>
      </c>
      <c r="K12">
        <v>2016</v>
      </c>
      <c r="L12" s="17">
        <f t="shared" si="1"/>
        <v>690.40857600000004</v>
      </c>
    </row>
    <row r="13" spans="1:12" ht="30" x14ac:dyDescent="0.25">
      <c r="A13" s="15">
        <v>39544</v>
      </c>
      <c r="B13" s="2" t="s">
        <v>179</v>
      </c>
      <c r="C13" s="1">
        <v>288</v>
      </c>
      <c r="D13" s="5">
        <f>CONVERT(C13,"mph","km/h")</f>
        <v>463.49107200000003</v>
      </c>
      <c r="E13" s="2" t="s">
        <v>161</v>
      </c>
      <c r="F13" s="2" t="s">
        <v>25</v>
      </c>
      <c r="G13" s="3" t="s">
        <v>99</v>
      </c>
      <c r="H13" s="8" t="s">
        <v>27</v>
      </c>
      <c r="I13">
        <f t="shared" si="0"/>
        <v>2008</v>
      </c>
      <c r="K13">
        <v>2017</v>
      </c>
      <c r="L13" s="17">
        <f t="shared" si="1"/>
        <v>659.83103999999992</v>
      </c>
    </row>
    <row r="14" spans="1:12" ht="30" x14ac:dyDescent="0.25">
      <c r="A14" s="15" t="s">
        <v>215</v>
      </c>
      <c r="B14" s="2" t="s">
        <v>176</v>
      </c>
      <c r="C14" s="1">
        <v>289</v>
      </c>
      <c r="D14" s="5">
        <f>CONVERT(C14,"mph","km/h")</f>
        <v>465.100416</v>
      </c>
      <c r="E14" s="2" t="s">
        <v>53</v>
      </c>
      <c r="F14" s="2" t="s">
        <v>25</v>
      </c>
      <c r="G14" s="3" t="s">
        <v>91</v>
      </c>
      <c r="H14" s="8" t="s">
        <v>4</v>
      </c>
      <c r="I14">
        <f t="shared" si="0"/>
        <v>2020</v>
      </c>
      <c r="K14">
        <v>2018</v>
      </c>
      <c r="L14" s="17">
        <f t="shared" si="1"/>
        <v>674.31513599999994</v>
      </c>
    </row>
    <row r="15" spans="1:12" ht="30" x14ac:dyDescent="0.25">
      <c r="A15" s="15">
        <v>40704</v>
      </c>
      <c r="B15" s="2" t="s">
        <v>174</v>
      </c>
      <c r="C15" s="1">
        <v>290</v>
      </c>
      <c r="D15" s="5">
        <f>CONVERT(C15,"mph","km/h")</f>
        <v>466.70976000000007</v>
      </c>
      <c r="E15" s="2" t="s">
        <v>89</v>
      </c>
      <c r="F15" s="2" t="s">
        <v>70</v>
      </c>
      <c r="G15" s="3" t="s">
        <v>71</v>
      </c>
      <c r="H15" s="8" t="s">
        <v>27</v>
      </c>
      <c r="I15">
        <f t="shared" si="0"/>
        <v>2011</v>
      </c>
      <c r="K15">
        <v>2019</v>
      </c>
      <c r="L15" s="17">
        <f t="shared" si="1"/>
        <v>556.83302400000002</v>
      </c>
    </row>
    <row r="16" spans="1:12" ht="30" x14ac:dyDescent="0.25">
      <c r="A16" s="15" t="s">
        <v>216</v>
      </c>
      <c r="B16" s="2" t="s">
        <v>175</v>
      </c>
      <c r="C16" s="1">
        <v>290</v>
      </c>
      <c r="D16" s="5">
        <f>CONVERT(C16,"mph","km/h")</f>
        <v>466.70976000000007</v>
      </c>
      <c r="E16" s="2" t="s">
        <v>89</v>
      </c>
      <c r="F16" s="2" t="s">
        <v>147</v>
      </c>
      <c r="G16" s="3" t="s">
        <v>131</v>
      </c>
      <c r="H16" s="8" t="s">
        <v>58</v>
      </c>
      <c r="I16">
        <f t="shared" si="0"/>
        <v>2012</v>
      </c>
      <c r="K16">
        <v>2020</v>
      </c>
      <c r="L16" s="17">
        <f t="shared" si="1"/>
        <v>867.43641600000001</v>
      </c>
    </row>
    <row r="17" spans="1:12" ht="30" x14ac:dyDescent="0.25">
      <c r="A17" s="15" t="s">
        <v>217</v>
      </c>
      <c r="B17" s="2" t="s">
        <v>172</v>
      </c>
      <c r="C17" s="1">
        <v>291</v>
      </c>
      <c r="D17" s="5">
        <f>CONVERT(C17,"mph","km/h")</f>
        <v>468.31910399999998</v>
      </c>
      <c r="E17" s="2" t="s">
        <v>173</v>
      </c>
      <c r="F17" s="2" t="s">
        <v>25</v>
      </c>
      <c r="G17" s="3" t="s">
        <v>12</v>
      </c>
      <c r="H17" s="8" t="s">
        <v>4</v>
      </c>
      <c r="I17">
        <f t="shared" si="0"/>
        <v>2022</v>
      </c>
      <c r="K17">
        <v>2021</v>
      </c>
      <c r="L17" s="17">
        <f t="shared" si="1"/>
        <v>759.61036799999999</v>
      </c>
    </row>
    <row r="18" spans="1:12" ht="30" x14ac:dyDescent="0.25">
      <c r="A18" s="15">
        <v>40493</v>
      </c>
      <c r="B18" s="2" t="s">
        <v>170</v>
      </c>
      <c r="C18" s="1">
        <v>292</v>
      </c>
      <c r="D18" s="5">
        <f>CONVERT(C18,"mph","km/h")</f>
        <v>469.928448</v>
      </c>
      <c r="E18" s="2" t="s">
        <v>89</v>
      </c>
      <c r="F18" s="2" t="s">
        <v>70</v>
      </c>
      <c r="G18" s="3" t="s">
        <v>171</v>
      </c>
      <c r="H18" s="8" t="s">
        <v>105</v>
      </c>
      <c r="I18">
        <f t="shared" si="0"/>
        <v>2010</v>
      </c>
      <c r="K18">
        <v>2022</v>
      </c>
      <c r="L18" s="17">
        <f t="shared" si="1"/>
        <v>659.83103999999992</v>
      </c>
    </row>
    <row r="19" spans="1:12" ht="30" x14ac:dyDescent="0.25">
      <c r="A19" s="15">
        <v>39877</v>
      </c>
      <c r="B19" s="2" t="s">
        <v>166</v>
      </c>
      <c r="C19" s="1">
        <v>295</v>
      </c>
      <c r="D19" s="5">
        <f>CONVERT(C19,"mph","km/h")</f>
        <v>474.75648000000007</v>
      </c>
      <c r="E19" s="2" t="s">
        <v>157</v>
      </c>
      <c r="F19" s="2" t="s">
        <v>25</v>
      </c>
      <c r="G19" s="3" t="s">
        <v>167</v>
      </c>
      <c r="H19" s="8" t="s">
        <v>127</v>
      </c>
      <c r="I19">
        <f t="shared" si="0"/>
        <v>2009</v>
      </c>
      <c r="K19">
        <v>2023</v>
      </c>
      <c r="L19" s="17">
        <f t="shared" si="1"/>
        <v>907.67001600000003</v>
      </c>
    </row>
    <row r="20" spans="1:12" ht="30" x14ac:dyDescent="0.25">
      <c r="A20" s="15">
        <v>39976</v>
      </c>
      <c r="B20" s="2" t="s">
        <v>168</v>
      </c>
      <c r="C20" s="1">
        <v>295</v>
      </c>
      <c r="D20" s="5">
        <f>CONVERT(C20,"mph","km/h")</f>
        <v>474.75648000000007</v>
      </c>
      <c r="E20" s="2" t="s">
        <v>89</v>
      </c>
      <c r="F20" s="2" t="s">
        <v>169</v>
      </c>
      <c r="G20" s="3" t="s">
        <v>96</v>
      </c>
      <c r="H20" s="8" t="s">
        <v>27</v>
      </c>
      <c r="I20">
        <f t="shared" si="0"/>
        <v>2009</v>
      </c>
      <c r="K20">
        <v>2024</v>
      </c>
      <c r="L20" s="17">
        <f t="shared" si="1"/>
        <v>584.19187199999999</v>
      </c>
    </row>
    <row r="21" spans="1:12" ht="30" x14ac:dyDescent="0.25">
      <c r="A21" s="15">
        <v>42797</v>
      </c>
      <c r="B21" s="2" t="s">
        <v>163</v>
      </c>
      <c r="C21" s="1">
        <v>296</v>
      </c>
      <c r="D21" s="5">
        <f>CONVERT(C21,"mph","km/h")</f>
        <v>476.36582399999998</v>
      </c>
      <c r="E21" s="2" t="s">
        <v>16</v>
      </c>
      <c r="F21" s="2" t="s">
        <v>164</v>
      </c>
      <c r="G21" s="3" t="s">
        <v>165</v>
      </c>
      <c r="H21" s="8" t="s">
        <v>27</v>
      </c>
      <c r="I21">
        <f t="shared" si="0"/>
        <v>2017</v>
      </c>
      <c r="K21">
        <v>2025</v>
      </c>
      <c r="L21" s="17">
        <f t="shared" si="1"/>
        <v>854.56166400000006</v>
      </c>
    </row>
    <row r="22" spans="1:12" ht="42.75" customHeight="1" x14ac:dyDescent="0.25">
      <c r="A22" s="15" t="s">
        <v>218</v>
      </c>
      <c r="B22" s="2" t="s">
        <v>156</v>
      </c>
      <c r="C22" s="1">
        <v>297</v>
      </c>
      <c r="D22" s="5">
        <f>CONVERT(C22,"mph","km/h")</f>
        <v>477.975168</v>
      </c>
      <c r="E22" s="2" t="s">
        <v>157</v>
      </c>
      <c r="F22" s="2" t="s">
        <v>158</v>
      </c>
      <c r="G22" s="3" t="s">
        <v>159</v>
      </c>
      <c r="H22" s="8" t="s">
        <v>58</v>
      </c>
      <c r="I22">
        <f t="shared" si="0"/>
        <v>2008</v>
      </c>
      <c r="K22">
        <v>2026</v>
      </c>
      <c r="L22" s="17">
        <f t="shared" si="1"/>
        <v>912.49804799999993</v>
      </c>
    </row>
    <row r="23" spans="1:12" x14ac:dyDescent="0.25">
      <c r="A23" s="15" t="s">
        <v>219</v>
      </c>
      <c r="B23" s="2" t="s">
        <v>160</v>
      </c>
      <c r="C23" s="1">
        <v>297</v>
      </c>
      <c r="D23" s="5">
        <f>CONVERT(C23,"mph","km/h")</f>
        <v>477.975168</v>
      </c>
      <c r="E23" s="2" t="s">
        <v>161</v>
      </c>
      <c r="F23" s="2" t="s">
        <v>158</v>
      </c>
      <c r="G23" s="3" t="s">
        <v>162</v>
      </c>
      <c r="H23" s="8" t="s">
        <v>58</v>
      </c>
      <c r="I23">
        <f t="shared" si="0"/>
        <v>2008</v>
      </c>
    </row>
    <row r="24" spans="1:12" ht="30" x14ac:dyDescent="0.25">
      <c r="A24" s="15" t="s">
        <v>220</v>
      </c>
      <c r="B24" s="2" t="s">
        <v>154</v>
      </c>
      <c r="C24" s="1">
        <v>298</v>
      </c>
      <c r="D24" s="5">
        <f>CONVERT(C24,"mph","km/h")</f>
        <v>479.58451200000002</v>
      </c>
      <c r="E24" s="2" t="s">
        <v>24</v>
      </c>
      <c r="F24" s="2" t="s">
        <v>149</v>
      </c>
      <c r="G24" s="3" t="s">
        <v>155</v>
      </c>
      <c r="H24" s="8" t="s">
        <v>58</v>
      </c>
      <c r="I24">
        <f t="shared" si="0"/>
        <v>2024</v>
      </c>
    </row>
    <row r="25" spans="1:12" ht="30" x14ac:dyDescent="0.25">
      <c r="A25" s="15" t="s">
        <v>221</v>
      </c>
      <c r="B25" s="2" t="s">
        <v>151</v>
      </c>
      <c r="C25" s="1">
        <v>300</v>
      </c>
      <c r="D25" s="5">
        <f>CONVERT(C25,"mph","km/h")</f>
        <v>482.80319999999995</v>
      </c>
      <c r="E25" s="2" t="s">
        <v>89</v>
      </c>
      <c r="F25" s="2" t="s">
        <v>25</v>
      </c>
      <c r="G25" s="3" t="s">
        <v>152</v>
      </c>
      <c r="H25" s="8" t="s">
        <v>4</v>
      </c>
      <c r="I25">
        <f t="shared" si="0"/>
        <v>2016</v>
      </c>
    </row>
    <row r="26" spans="1:12" ht="30" x14ac:dyDescent="0.25">
      <c r="A26" s="15" t="s">
        <v>222</v>
      </c>
      <c r="B26" s="2" t="s">
        <v>153</v>
      </c>
      <c r="C26" s="1">
        <v>300</v>
      </c>
      <c r="D26" s="5">
        <f>CONVERT(C26,"mph","km/h")</f>
        <v>482.80319999999995</v>
      </c>
      <c r="E26" s="2" t="s">
        <v>89</v>
      </c>
      <c r="F26" s="2" t="s">
        <v>25</v>
      </c>
      <c r="G26" s="3" t="s">
        <v>152</v>
      </c>
      <c r="H26" s="8" t="s">
        <v>4</v>
      </c>
      <c r="I26">
        <f t="shared" si="0"/>
        <v>2016</v>
      </c>
    </row>
    <row r="27" spans="1:12" x14ac:dyDescent="0.25">
      <c r="A27" s="15">
        <v>39203</v>
      </c>
      <c r="B27" s="2" t="s">
        <v>141</v>
      </c>
      <c r="C27" s="1">
        <v>301</v>
      </c>
      <c r="D27" s="5">
        <f>CONVERT(C27,"mph","km/h")</f>
        <v>484.41254400000008</v>
      </c>
      <c r="E27" s="2" t="s">
        <v>138</v>
      </c>
      <c r="F27" s="2" t="s">
        <v>44</v>
      </c>
      <c r="G27" s="3" t="s">
        <v>142</v>
      </c>
      <c r="H27" s="8" t="s">
        <v>127</v>
      </c>
      <c r="I27">
        <f t="shared" si="0"/>
        <v>2007</v>
      </c>
    </row>
    <row r="28" spans="1:12" ht="30" x14ac:dyDescent="0.25">
      <c r="A28" s="15" t="s">
        <v>223</v>
      </c>
      <c r="B28" s="2" t="s">
        <v>143</v>
      </c>
      <c r="C28" s="1">
        <v>301</v>
      </c>
      <c r="D28" s="5">
        <f>CONVERT(C28,"mph","km/h")</f>
        <v>484.41254400000008</v>
      </c>
      <c r="E28" s="2" t="s">
        <v>144</v>
      </c>
      <c r="F28" s="2" t="s">
        <v>125</v>
      </c>
      <c r="G28" s="3" t="s">
        <v>145</v>
      </c>
      <c r="H28" s="8" t="s">
        <v>127</v>
      </c>
      <c r="I28">
        <f t="shared" si="0"/>
        <v>2008</v>
      </c>
    </row>
    <row r="29" spans="1:12" ht="30" x14ac:dyDescent="0.25">
      <c r="A29" s="15">
        <v>45449</v>
      </c>
      <c r="B29" s="2" t="s">
        <v>148</v>
      </c>
      <c r="C29" s="1">
        <v>301</v>
      </c>
      <c r="D29" s="5">
        <f>CONVERT(C29,"mph","km/h")</f>
        <v>484.41254400000008</v>
      </c>
      <c r="E29" s="2" t="s">
        <v>24</v>
      </c>
      <c r="F29" s="2" t="s">
        <v>149</v>
      </c>
      <c r="G29" s="3" t="s">
        <v>150</v>
      </c>
      <c r="H29" s="8" t="s">
        <v>4</v>
      </c>
      <c r="I29">
        <f t="shared" si="0"/>
        <v>2024</v>
      </c>
    </row>
    <row r="30" spans="1:12" ht="30" x14ac:dyDescent="0.25">
      <c r="A30" s="15">
        <v>41853</v>
      </c>
      <c r="B30" s="2" t="s">
        <v>146</v>
      </c>
      <c r="C30" s="1">
        <v>301</v>
      </c>
      <c r="D30" s="5">
        <f>CONVERT(C30,"mph","km/h")</f>
        <v>484.41254400000008</v>
      </c>
      <c r="E30" s="2" t="s">
        <v>115</v>
      </c>
      <c r="F30" s="2" t="s">
        <v>147</v>
      </c>
      <c r="G30" s="3" t="s">
        <v>131</v>
      </c>
      <c r="H30" s="8" t="s">
        <v>4</v>
      </c>
      <c r="I30">
        <f t="shared" si="0"/>
        <v>2014</v>
      </c>
    </row>
    <row r="31" spans="1:12" ht="30" x14ac:dyDescent="0.25">
      <c r="A31" s="15" t="s">
        <v>224</v>
      </c>
      <c r="B31" s="2" t="s">
        <v>140</v>
      </c>
      <c r="C31" s="1">
        <v>302</v>
      </c>
      <c r="D31" s="5">
        <f>CONVERT(C31,"mph","km/h")</f>
        <v>486.02188799999999</v>
      </c>
      <c r="E31" s="2" t="s">
        <v>89</v>
      </c>
      <c r="F31" s="2" t="s">
        <v>25</v>
      </c>
      <c r="G31" s="3" t="s">
        <v>40</v>
      </c>
      <c r="H31" s="8" t="s">
        <v>27</v>
      </c>
      <c r="I31">
        <f t="shared" si="0"/>
        <v>2013</v>
      </c>
    </row>
    <row r="32" spans="1:12" ht="30" x14ac:dyDescent="0.25">
      <c r="A32" s="15">
        <v>38760</v>
      </c>
      <c r="B32" s="2" t="s">
        <v>137</v>
      </c>
      <c r="C32" s="1">
        <v>302</v>
      </c>
      <c r="D32" s="5">
        <f>CONVERT(C32,"mph","km/h")</f>
        <v>486.02188799999999</v>
      </c>
      <c r="E32" s="2" t="s">
        <v>138</v>
      </c>
      <c r="F32" s="2" t="s">
        <v>129</v>
      </c>
      <c r="G32" s="3" t="s">
        <v>139</v>
      </c>
      <c r="H32" s="8" t="s">
        <v>127</v>
      </c>
      <c r="I32">
        <f t="shared" si="0"/>
        <v>2006</v>
      </c>
    </row>
    <row r="33" spans="1:9" ht="30" x14ac:dyDescent="0.25">
      <c r="A33" s="15" t="s">
        <v>225</v>
      </c>
      <c r="B33" s="2" t="s">
        <v>136</v>
      </c>
      <c r="C33" s="1">
        <v>303</v>
      </c>
      <c r="D33" s="5">
        <f>CONVERT(C33,"mph","km/h")</f>
        <v>487.63123199999995</v>
      </c>
      <c r="E33" s="2" t="s">
        <v>53</v>
      </c>
      <c r="F33" s="2" t="s">
        <v>17</v>
      </c>
      <c r="G33" s="3" t="s">
        <v>6</v>
      </c>
      <c r="H33" s="8" t="s">
        <v>4</v>
      </c>
      <c r="I33">
        <f t="shared" si="0"/>
        <v>2023</v>
      </c>
    </row>
    <row r="34" spans="1:9" ht="30" x14ac:dyDescent="0.25">
      <c r="A34" s="15" t="s">
        <v>226</v>
      </c>
      <c r="B34" s="2" t="s">
        <v>134</v>
      </c>
      <c r="C34" s="1">
        <v>303</v>
      </c>
      <c r="D34" s="5">
        <f>CONVERT(C34,"mph","km/h")</f>
        <v>487.63123199999995</v>
      </c>
      <c r="E34" s="2" t="s">
        <v>89</v>
      </c>
      <c r="F34" s="2" t="s">
        <v>25</v>
      </c>
      <c r="G34" s="3" t="s">
        <v>135</v>
      </c>
      <c r="H34" s="8" t="s">
        <v>27</v>
      </c>
      <c r="I34">
        <f t="shared" si="0"/>
        <v>2010</v>
      </c>
    </row>
    <row r="35" spans="1:9" ht="45" x14ac:dyDescent="0.25">
      <c r="A35" s="15" t="s">
        <v>227</v>
      </c>
      <c r="B35" s="2" t="s">
        <v>132</v>
      </c>
      <c r="C35" s="1">
        <v>306</v>
      </c>
      <c r="D35" s="5">
        <f>CONVERT(C35,"mph","km/h")</f>
        <v>492.45926400000002</v>
      </c>
      <c r="E35" s="2" t="s">
        <v>133</v>
      </c>
      <c r="F35" s="2" t="s">
        <v>25</v>
      </c>
      <c r="G35" s="3" t="s">
        <v>42</v>
      </c>
      <c r="H35" s="8" t="s">
        <v>27</v>
      </c>
      <c r="I35">
        <f t="shared" si="0"/>
        <v>2012</v>
      </c>
    </row>
    <row r="36" spans="1:9" ht="30" x14ac:dyDescent="0.25">
      <c r="A36" s="15" t="s">
        <v>214</v>
      </c>
      <c r="B36" s="2" t="s">
        <v>123</v>
      </c>
      <c r="C36" s="1">
        <v>308</v>
      </c>
      <c r="D36" s="5">
        <f>CONVERT(C36,"mph","km/h")</f>
        <v>495.677952</v>
      </c>
      <c r="E36" s="2" t="s">
        <v>124</v>
      </c>
      <c r="F36" s="2" t="s">
        <v>125</v>
      </c>
      <c r="G36" s="3" t="s">
        <v>126</v>
      </c>
      <c r="H36" s="8" t="s">
        <v>127</v>
      </c>
      <c r="I36">
        <f t="shared" si="0"/>
        <v>2007</v>
      </c>
    </row>
    <row r="37" spans="1:9" ht="30" x14ac:dyDescent="0.25">
      <c r="A37" s="15">
        <v>42584</v>
      </c>
      <c r="B37" s="2" t="s">
        <v>128</v>
      </c>
      <c r="C37" s="1">
        <v>308</v>
      </c>
      <c r="D37" s="5">
        <f>CONVERT(C37,"mph","km/h")</f>
        <v>495.677952</v>
      </c>
      <c r="E37" s="2" t="s">
        <v>89</v>
      </c>
      <c r="F37" s="2" t="s">
        <v>129</v>
      </c>
      <c r="G37" s="3" t="s">
        <v>3</v>
      </c>
      <c r="H37" s="8" t="s">
        <v>4</v>
      </c>
      <c r="I37">
        <f t="shared" si="0"/>
        <v>2016</v>
      </c>
    </row>
    <row r="38" spans="1:9" ht="30" x14ac:dyDescent="0.25">
      <c r="A38" s="15" t="s">
        <v>228</v>
      </c>
      <c r="B38" s="2" t="s">
        <v>130</v>
      </c>
      <c r="C38" s="1">
        <v>308</v>
      </c>
      <c r="D38" s="5">
        <f>CONVERT(C38,"mph","km/h")</f>
        <v>495.677952</v>
      </c>
      <c r="E38" s="2" t="s">
        <v>89</v>
      </c>
      <c r="F38" s="2" t="s">
        <v>70</v>
      </c>
      <c r="G38" s="3" t="s">
        <v>131</v>
      </c>
      <c r="H38" s="8" t="s">
        <v>4</v>
      </c>
      <c r="I38">
        <f t="shared" si="0"/>
        <v>2017</v>
      </c>
    </row>
    <row r="39" spans="1:9" ht="30" x14ac:dyDescent="0.25">
      <c r="A39" s="15">
        <v>39731</v>
      </c>
      <c r="B39" s="2" t="s">
        <v>120</v>
      </c>
      <c r="C39" s="1">
        <v>311</v>
      </c>
      <c r="D39" s="5">
        <f>CONVERT(C39,"mph","km/h")</f>
        <v>500.50598400000001</v>
      </c>
      <c r="E39" s="2" t="s">
        <v>46</v>
      </c>
      <c r="F39" s="2" t="s">
        <v>25</v>
      </c>
      <c r="G39" s="3" t="s">
        <v>99</v>
      </c>
      <c r="H39" s="8" t="s">
        <v>27</v>
      </c>
      <c r="I39">
        <f t="shared" si="0"/>
        <v>2008</v>
      </c>
    </row>
    <row r="40" spans="1:9" ht="30" x14ac:dyDescent="0.25">
      <c r="A40" s="15">
        <v>44964</v>
      </c>
      <c r="B40" s="2" t="s">
        <v>121</v>
      </c>
      <c r="C40" s="1">
        <v>311</v>
      </c>
      <c r="D40" s="5">
        <f>CONVERT(C40,"mph","km/h")</f>
        <v>500.50598400000001</v>
      </c>
      <c r="E40" s="2" t="s">
        <v>55</v>
      </c>
      <c r="F40" s="2" t="s">
        <v>122</v>
      </c>
      <c r="G40" s="3" t="s">
        <v>42</v>
      </c>
      <c r="H40" s="8" t="s">
        <v>4</v>
      </c>
      <c r="I40">
        <f t="shared" si="0"/>
        <v>2023</v>
      </c>
    </row>
    <row r="41" spans="1:9" ht="30" x14ac:dyDescent="0.25">
      <c r="A41" s="15" t="s">
        <v>229</v>
      </c>
      <c r="B41" s="2" t="s">
        <v>119</v>
      </c>
      <c r="C41" s="1">
        <v>313</v>
      </c>
      <c r="D41" s="5">
        <f>CONVERT(C41,"mph","km/h")</f>
        <v>503.724672</v>
      </c>
      <c r="E41" s="2" t="s">
        <v>53</v>
      </c>
      <c r="F41" s="2" t="s">
        <v>25</v>
      </c>
      <c r="G41" s="3" t="s">
        <v>91</v>
      </c>
      <c r="H41" s="8" t="s">
        <v>27</v>
      </c>
      <c r="I41">
        <f t="shared" si="0"/>
        <v>2016</v>
      </c>
    </row>
    <row r="42" spans="1:9" ht="30" x14ac:dyDescent="0.25">
      <c r="A42" s="15" t="s">
        <v>230</v>
      </c>
      <c r="B42" s="2" t="s">
        <v>117</v>
      </c>
      <c r="C42" s="1">
        <v>317</v>
      </c>
      <c r="D42" s="5">
        <f>CONVERT(C42,"mph","km/h")</f>
        <v>510.16204800000003</v>
      </c>
      <c r="E42" s="2" t="s">
        <v>118</v>
      </c>
      <c r="F42" s="2" t="s">
        <v>25</v>
      </c>
      <c r="G42" s="3" t="s">
        <v>12</v>
      </c>
      <c r="H42" s="8" t="s">
        <v>4</v>
      </c>
      <c r="I42">
        <f t="shared" si="0"/>
        <v>2024</v>
      </c>
    </row>
    <row r="43" spans="1:9" ht="30" x14ac:dyDescent="0.25">
      <c r="A43" s="15">
        <v>40728</v>
      </c>
      <c r="B43" s="2" t="s">
        <v>114</v>
      </c>
      <c r="C43" s="1">
        <v>318</v>
      </c>
      <c r="D43" s="5">
        <f>CONVERT(C43,"mph","km/h")</f>
        <v>511.77139199999993</v>
      </c>
      <c r="E43" s="2" t="s">
        <v>115</v>
      </c>
      <c r="F43" s="2" t="s">
        <v>116</v>
      </c>
      <c r="G43" s="3" t="s">
        <v>12</v>
      </c>
      <c r="H43" s="8" t="s">
        <v>27</v>
      </c>
      <c r="I43">
        <f t="shared" si="0"/>
        <v>2011</v>
      </c>
    </row>
    <row r="44" spans="1:9" ht="30" x14ac:dyDescent="0.25">
      <c r="A44" s="15">
        <v>43586</v>
      </c>
      <c r="B44" s="2" t="s">
        <v>113</v>
      </c>
      <c r="C44" s="1">
        <v>319</v>
      </c>
      <c r="D44" s="5">
        <f>CONVERT(C44,"mph","km/h")</f>
        <v>513.38073600000007</v>
      </c>
      <c r="E44" s="2" t="s">
        <v>53</v>
      </c>
      <c r="F44" s="2" t="s">
        <v>56</v>
      </c>
      <c r="G44" s="3" t="s">
        <v>42</v>
      </c>
      <c r="H44" s="8" t="s">
        <v>4</v>
      </c>
      <c r="I44">
        <f t="shared" si="0"/>
        <v>2019</v>
      </c>
    </row>
    <row r="45" spans="1:9" ht="30" x14ac:dyDescent="0.25">
      <c r="A45" s="15" t="s">
        <v>231</v>
      </c>
      <c r="B45" s="2" t="s">
        <v>109</v>
      </c>
      <c r="C45" s="1">
        <v>325</v>
      </c>
      <c r="D45" s="5">
        <f>CONVERT(C45,"mph","km/h")</f>
        <v>523.03680000000008</v>
      </c>
      <c r="E45" s="2" t="s">
        <v>89</v>
      </c>
      <c r="F45" s="2" t="s">
        <v>110</v>
      </c>
      <c r="G45" s="3" t="s">
        <v>111</v>
      </c>
      <c r="H45" s="8" t="s">
        <v>27</v>
      </c>
      <c r="I45">
        <f t="shared" si="0"/>
        <v>2010</v>
      </c>
    </row>
    <row r="46" spans="1:9" ht="30" x14ac:dyDescent="0.25">
      <c r="A46" s="15" t="s">
        <v>232</v>
      </c>
      <c r="B46" s="2" t="s">
        <v>112</v>
      </c>
      <c r="C46" s="1">
        <v>325</v>
      </c>
      <c r="D46" s="5">
        <f>CONVERT(C46,"mph","km/h")</f>
        <v>523.03680000000008</v>
      </c>
      <c r="E46" s="2" t="s">
        <v>53</v>
      </c>
      <c r="F46" s="2" t="s">
        <v>17</v>
      </c>
      <c r="G46" s="3" t="s">
        <v>3</v>
      </c>
      <c r="H46" s="8" t="s">
        <v>4</v>
      </c>
      <c r="I46">
        <f t="shared" si="0"/>
        <v>2021</v>
      </c>
    </row>
    <row r="47" spans="1:9" ht="30" x14ac:dyDescent="0.25">
      <c r="A47" s="15">
        <v>40704</v>
      </c>
      <c r="B47" s="2" t="s">
        <v>108</v>
      </c>
      <c r="C47" s="1">
        <v>327</v>
      </c>
      <c r="D47" s="5">
        <f>CONVERT(C47,"mph","km/h")</f>
        <v>526.2554879999999</v>
      </c>
      <c r="E47" s="2" t="s">
        <v>24</v>
      </c>
      <c r="F47" s="2" t="s">
        <v>70</v>
      </c>
      <c r="G47" s="3" t="s">
        <v>71</v>
      </c>
      <c r="H47" s="8" t="s">
        <v>27</v>
      </c>
      <c r="I47">
        <f t="shared" si="0"/>
        <v>2011</v>
      </c>
    </row>
    <row r="48" spans="1:9" ht="30" x14ac:dyDescent="0.25">
      <c r="A48" s="15" t="s">
        <v>233</v>
      </c>
      <c r="B48" s="2" t="s">
        <v>107</v>
      </c>
      <c r="C48" s="1">
        <v>328</v>
      </c>
      <c r="D48" s="5">
        <f>CONVERT(C48,"mph","km/h")</f>
        <v>527.86483200000009</v>
      </c>
      <c r="E48" s="2" t="s">
        <v>89</v>
      </c>
      <c r="F48" s="2" t="s">
        <v>25</v>
      </c>
      <c r="G48" s="3" t="s">
        <v>51</v>
      </c>
      <c r="H48" s="8" t="s">
        <v>27</v>
      </c>
      <c r="I48">
        <f t="shared" si="0"/>
        <v>2010</v>
      </c>
    </row>
    <row r="49" spans="1:9" ht="30" x14ac:dyDescent="0.25">
      <c r="A49" s="15" t="s">
        <v>234</v>
      </c>
      <c r="B49" s="2" t="s">
        <v>106</v>
      </c>
      <c r="C49" s="1">
        <v>330</v>
      </c>
      <c r="D49" s="5">
        <f>CONVERT(C49,"mph","km/h")</f>
        <v>531.08352000000002</v>
      </c>
      <c r="E49" s="2" t="s">
        <v>89</v>
      </c>
      <c r="F49" s="2" t="s">
        <v>25</v>
      </c>
      <c r="G49" s="3" t="s">
        <v>102</v>
      </c>
      <c r="H49" s="8" t="s">
        <v>4</v>
      </c>
      <c r="I49">
        <f t="shared" si="0"/>
        <v>2011</v>
      </c>
    </row>
    <row r="50" spans="1:9" ht="30" x14ac:dyDescent="0.25">
      <c r="A50" s="15" t="s">
        <v>235</v>
      </c>
      <c r="B50" s="2" t="s">
        <v>103</v>
      </c>
      <c r="C50" s="1">
        <v>334</v>
      </c>
      <c r="D50" s="5">
        <f>CONVERT(C50,"mph","km/h")</f>
        <v>537.52089600000011</v>
      </c>
      <c r="E50" s="2" t="s">
        <v>89</v>
      </c>
      <c r="F50" s="2" t="s">
        <v>25</v>
      </c>
      <c r="G50" s="3" t="s">
        <v>6</v>
      </c>
      <c r="H50" s="8" t="s">
        <v>27</v>
      </c>
      <c r="I50">
        <f t="shared" si="0"/>
        <v>2011</v>
      </c>
    </row>
    <row r="51" spans="1:9" ht="30" x14ac:dyDescent="0.25">
      <c r="A51" s="15">
        <v>41406</v>
      </c>
      <c r="B51" s="2" t="s">
        <v>104</v>
      </c>
      <c r="C51" s="1">
        <v>334</v>
      </c>
      <c r="D51" s="5">
        <f>CONVERT(C51,"mph","km/h")</f>
        <v>537.52089600000011</v>
      </c>
      <c r="E51" s="2" t="s">
        <v>24</v>
      </c>
      <c r="F51" s="2" t="s">
        <v>70</v>
      </c>
      <c r="G51" s="3" t="s">
        <v>71</v>
      </c>
      <c r="H51" s="8" t="s">
        <v>105</v>
      </c>
      <c r="I51">
        <f t="shared" si="0"/>
        <v>2013</v>
      </c>
    </row>
    <row r="52" spans="1:9" ht="30" x14ac:dyDescent="0.25">
      <c r="A52" s="15" t="s">
        <v>236</v>
      </c>
      <c r="B52" s="2" t="s">
        <v>101</v>
      </c>
      <c r="C52" s="1">
        <v>335</v>
      </c>
      <c r="D52" s="5">
        <f>CONVERT(C52,"mph","km/h")</f>
        <v>539.13023999999996</v>
      </c>
      <c r="E52" s="2" t="s">
        <v>24</v>
      </c>
      <c r="F52" s="2" t="s">
        <v>25</v>
      </c>
      <c r="G52" s="3" t="s">
        <v>102</v>
      </c>
      <c r="H52" s="8" t="s">
        <v>27</v>
      </c>
      <c r="I52">
        <f t="shared" si="0"/>
        <v>2012</v>
      </c>
    </row>
    <row r="53" spans="1:9" ht="30" x14ac:dyDescent="0.25">
      <c r="A53" s="15" t="s">
        <v>237</v>
      </c>
      <c r="B53" s="2" t="s">
        <v>100</v>
      </c>
      <c r="C53" s="1">
        <v>337</v>
      </c>
      <c r="D53" s="5">
        <f>CONVERT(C53,"mph","km/h")</f>
        <v>542.348928</v>
      </c>
      <c r="E53" s="2" t="s">
        <v>89</v>
      </c>
      <c r="F53" s="2" t="s">
        <v>25</v>
      </c>
      <c r="G53" s="3" t="s">
        <v>93</v>
      </c>
      <c r="H53" s="8" t="s">
        <v>4</v>
      </c>
      <c r="I53">
        <f t="shared" si="0"/>
        <v>2014</v>
      </c>
    </row>
    <row r="54" spans="1:9" ht="30" x14ac:dyDescent="0.25">
      <c r="A54" s="15" t="s">
        <v>238</v>
      </c>
      <c r="B54" s="2" t="s">
        <v>98</v>
      </c>
      <c r="C54" s="1">
        <v>337</v>
      </c>
      <c r="D54" s="5">
        <f>CONVERT(C54,"mph","km/h")</f>
        <v>542.348928</v>
      </c>
      <c r="E54" s="2" t="s">
        <v>46</v>
      </c>
      <c r="F54" s="2" t="s">
        <v>25</v>
      </c>
      <c r="G54" s="3" t="s">
        <v>99</v>
      </c>
      <c r="H54" s="8" t="s">
        <v>27</v>
      </c>
      <c r="I54">
        <f t="shared" si="0"/>
        <v>2009</v>
      </c>
    </row>
    <row r="55" spans="1:9" ht="30" x14ac:dyDescent="0.25">
      <c r="A55" s="15" t="s">
        <v>211</v>
      </c>
      <c r="B55" s="2" t="s">
        <v>97</v>
      </c>
      <c r="C55" s="1">
        <v>339</v>
      </c>
      <c r="D55" s="5">
        <f>CONVERT(C55,"mph","km/h")</f>
        <v>545.56761600000004</v>
      </c>
      <c r="E55" s="2" t="s">
        <v>60</v>
      </c>
      <c r="F55" s="2" t="s">
        <v>70</v>
      </c>
      <c r="G55" s="3" t="s">
        <v>71</v>
      </c>
      <c r="H55" s="8" t="s">
        <v>4</v>
      </c>
      <c r="I55">
        <f t="shared" si="0"/>
        <v>2023</v>
      </c>
    </row>
    <row r="56" spans="1:9" ht="30" x14ac:dyDescent="0.25">
      <c r="A56" s="15" t="s">
        <v>226</v>
      </c>
      <c r="B56" s="2" t="s">
        <v>95</v>
      </c>
      <c r="C56" s="1">
        <v>339</v>
      </c>
      <c r="D56" s="5">
        <f>CONVERT(C56,"mph","km/h")</f>
        <v>545.56761600000004</v>
      </c>
      <c r="E56" s="2" t="s">
        <v>89</v>
      </c>
      <c r="F56" s="2" t="s">
        <v>25</v>
      </c>
      <c r="G56" s="3" t="s">
        <v>96</v>
      </c>
      <c r="H56" s="8" t="s">
        <v>27</v>
      </c>
      <c r="I56">
        <f t="shared" si="0"/>
        <v>2010</v>
      </c>
    </row>
    <row r="57" spans="1:9" ht="30" x14ac:dyDescent="0.25">
      <c r="A57" s="15">
        <v>40059</v>
      </c>
      <c r="B57" s="2" t="s">
        <v>94</v>
      </c>
      <c r="C57" s="1">
        <v>340</v>
      </c>
      <c r="D57" s="5">
        <f>CONVERT(C57,"mph","km/h")</f>
        <v>547.17696000000001</v>
      </c>
      <c r="E57" s="2" t="s">
        <v>46</v>
      </c>
      <c r="F57" s="2" t="s">
        <v>25</v>
      </c>
      <c r="G57" s="3" t="s">
        <v>12</v>
      </c>
      <c r="H57" s="8" t="s">
        <v>27</v>
      </c>
      <c r="I57">
        <f t="shared" si="0"/>
        <v>2009</v>
      </c>
    </row>
    <row r="58" spans="1:9" ht="30" x14ac:dyDescent="0.25">
      <c r="A58" s="15" t="s">
        <v>237</v>
      </c>
      <c r="B58" s="2" t="s">
        <v>92</v>
      </c>
      <c r="C58" s="1">
        <v>345</v>
      </c>
      <c r="D58" s="5">
        <f>CONVERT(C58,"mph","km/h")</f>
        <v>555.22368000000006</v>
      </c>
      <c r="E58" s="2" t="s">
        <v>89</v>
      </c>
      <c r="F58" s="2" t="s">
        <v>25</v>
      </c>
      <c r="G58" s="3" t="s">
        <v>93</v>
      </c>
      <c r="H58" s="8" t="s">
        <v>4</v>
      </c>
      <c r="I58">
        <f t="shared" si="0"/>
        <v>2014</v>
      </c>
    </row>
    <row r="59" spans="1:9" ht="30" x14ac:dyDescent="0.25">
      <c r="A59" s="15">
        <v>40302</v>
      </c>
      <c r="B59" s="2" t="s">
        <v>88</v>
      </c>
      <c r="C59" s="1">
        <v>346</v>
      </c>
      <c r="D59" s="5">
        <f>CONVERT(C59,"mph","km/h")</f>
        <v>556.83302400000002</v>
      </c>
      <c r="E59" s="2" t="s">
        <v>89</v>
      </c>
      <c r="F59" s="2" t="s">
        <v>25</v>
      </c>
      <c r="G59" s="3" t="s">
        <v>26</v>
      </c>
      <c r="H59" s="8" t="s">
        <v>27</v>
      </c>
      <c r="I59">
        <f t="shared" si="0"/>
        <v>2010</v>
      </c>
    </row>
    <row r="60" spans="1:9" ht="30" x14ac:dyDescent="0.25">
      <c r="A60" s="15">
        <v>43748</v>
      </c>
      <c r="B60" s="2" t="s">
        <v>90</v>
      </c>
      <c r="C60" s="1">
        <v>346</v>
      </c>
      <c r="D60" s="5">
        <f>CONVERT(C60,"mph","km/h")</f>
        <v>556.83302400000002</v>
      </c>
      <c r="E60" s="2" t="s">
        <v>53</v>
      </c>
      <c r="F60" s="2" t="s">
        <v>17</v>
      </c>
      <c r="G60" s="3" t="s">
        <v>91</v>
      </c>
      <c r="H60" s="8" t="s">
        <v>4</v>
      </c>
      <c r="I60">
        <f t="shared" si="0"/>
        <v>2019</v>
      </c>
    </row>
    <row r="61" spans="1:9" ht="30" x14ac:dyDescent="0.25">
      <c r="A61" s="15" t="s">
        <v>239</v>
      </c>
      <c r="B61" s="2" t="s">
        <v>86</v>
      </c>
      <c r="C61" s="1">
        <v>347</v>
      </c>
      <c r="D61" s="5">
        <f>CONVERT(C61,"mph","km/h")</f>
        <v>558.44236799999999</v>
      </c>
      <c r="E61" s="2" t="s">
        <v>31</v>
      </c>
      <c r="F61" s="2" t="s">
        <v>25</v>
      </c>
      <c r="G61" s="3" t="s">
        <v>87</v>
      </c>
      <c r="H61" s="8" t="s">
        <v>4</v>
      </c>
      <c r="I61">
        <f t="shared" si="0"/>
        <v>2026</v>
      </c>
    </row>
    <row r="62" spans="1:9" ht="30" x14ac:dyDescent="0.25">
      <c r="A62" s="15" t="s">
        <v>240</v>
      </c>
      <c r="B62" s="2" t="s">
        <v>85</v>
      </c>
      <c r="C62" s="1">
        <v>350</v>
      </c>
      <c r="D62" s="5">
        <f>CONVERT(C62,"mph","km/h")</f>
        <v>563.2704</v>
      </c>
      <c r="E62" s="2" t="s">
        <v>16</v>
      </c>
      <c r="F62" s="2" t="s">
        <v>25</v>
      </c>
      <c r="G62" s="3" t="s">
        <v>37</v>
      </c>
      <c r="H62" s="8" t="s">
        <v>4</v>
      </c>
      <c r="I62">
        <f t="shared" si="0"/>
        <v>2013</v>
      </c>
    </row>
    <row r="63" spans="1:9" ht="30" x14ac:dyDescent="0.25">
      <c r="A63" s="15">
        <v>41003</v>
      </c>
      <c r="B63" s="2" t="s">
        <v>83</v>
      </c>
      <c r="C63" s="1">
        <v>352</v>
      </c>
      <c r="D63" s="5">
        <f>CONVERT(C63,"mph","km/h")</f>
        <v>566.48908800000004</v>
      </c>
      <c r="E63" s="2" t="s">
        <v>24</v>
      </c>
      <c r="F63" s="2" t="s">
        <v>25</v>
      </c>
      <c r="G63" s="3" t="s">
        <v>84</v>
      </c>
      <c r="H63" s="8" t="s">
        <v>27</v>
      </c>
      <c r="I63">
        <f t="shared" si="0"/>
        <v>2012</v>
      </c>
    </row>
    <row r="64" spans="1:9" ht="30" x14ac:dyDescent="0.25">
      <c r="A64" s="15">
        <v>45454</v>
      </c>
      <c r="B64" s="2" t="s">
        <v>81</v>
      </c>
      <c r="C64" s="1">
        <v>363</v>
      </c>
      <c r="D64" s="5">
        <f>CONVERT(C64,"mph","km/h")</f>
        <v>584.19187199999999</v>
      </c>
      <c r="E64" s="2" t="s">
        <v>24</v>
      </c>
      <c r="F64" s="2" t="s">
        <v>17</v>
      </c>
      <c r="G64" s="3" t="s">
        <v>82</v>
      </c>
      <c r="H64" s="8" t="s">
        <v>4</v>
      </c>
      <c r="I64">
        <f t="shared" si="0"/>
        <v>2024</v>
      </c>
    </row>
    <row r="65" spans="1:9" ht="30" x14ac:dyDescent="0.25">
      <c r="A65" s="15" t="s">
        <v>241</v>
      </c>
      <c r="B65" s="2" t="s">
        <v>80</v>
      </c>
      <c r="C65" s="1">
        <v>365</v>
      </c>
      <c r="D65" s="5">
        <f>CONVERT(C65,"mph","km/h")</f>
        <v>587.41056000000003</v>
      </c>
      <c r="E65" s="2" t="s">
        <v>24</v>
      </c>
      <c r="F65" s="2" t="s">
        <v>25</v>
      </c>
      <c r="G65" s="3" t="s">
        <v>12</v>
      </c>
      <c r="H65" s="8" t="s">
        <v>4</v>
      </c>
      <c r="I65">
        <f t="shared" si="0"/>
        <v>2011</v>
      </c>
    </row>
    <row r="66" spans="1:9" ht="30" x14ac:dyDescent="0.25">
      <c r="A66" s="15">
        <v>41101</v>
      </c>
      <c r="B66" s="2" t="s">
        <v>77</v>
      </c>
      <c r="C66" s="1">
        <v>370</v>
      </c>
      <c r="D66" s="5">
        <f>CONVERT(C66,"mph","km/h")</f>
        <v>595.45728000000008</v>
      </c>
      <c r="E66" s="2" t="s">
        <v>24</v>
      </c>
      <c r="F66" s="2" t="s">
        <v>78</v>
      </c>
      <c r="G66" s="3" t="s">
        <v>79</v>
      </c>
      <c r="H66" s="8" t="s">
        <v>4</v>
      </c>
      <c r="I66">
        <f t="shared" si="0"/>
        <v>2012</v>
      </c>
    </row>
    <row r="67" spans="1:9" ht="30" x14ac:dyDescent="0.25">
      <c r="A67" s="15" t="s">
        <v>242</v>
      </c>
      <c r="B67" s="2" t="s">
        <v>76</v>
      </c>
      <c r="C67" s="1">
        <v>371</v>
      </c>
      <c r="D67" s="5">
        <f>CONVERT(C67,"mph","km/h")</f>
        <v>597.06662400000005</v>
      </c>
      <c r="E67" s="2" t="s">
        <v>16</v>
      </c>
      <c r="F67" s="2" t="s">
        <v>25</v>
      </c>
      <c r="G67" s="3" t="s">
        <v>6</v>
      </c>
      <c r="H67" s="8" t="s">
        <v>4</v>
      </c>
      <c r="I67">
        <f t="shared" ref="I67:I101" si="2">IFERROR(YEAR(A67),RIGHT(A67,4)*1)</f>
        <v>2016</v>
      </c>
    </row>
    <row r="68" spans="1:9" ht="30" x14ac:dyDescent="0.25">
      <c r="A68" s="15" t="s">
        <v>237</v>
      </c>
      <c r="B68" s="2" t="s">
        <v>75</v>
      </c>
      <c r="C68" s="1">
        <v>373</v>
      </c>
      <c r="D68" s="5">
        <f>CONVERT(C68,"mph","km/h")</f>
        <v>600.28531199999998</v>
      </c>
      <c r="E68" s="2" t="s">
        <v>53</v>
      </c>
      <c r="F68" s="2" t="s">
        <v>25</v>
      </c>
      <c r="G68" s="3" t="s">
        <v>3</v>
      </c>
      <c r="H68" s="8" t="s">
        <v>4</v>
      </c>
      <c r="I68">
        <f t="shared" si="2"/>
        <v>2014</v>
      </c>
    </row>
    <row r="69" spans="1:9" ht="30" x14ac:dyDescent="0.25">
      <c r="A69" s="15">
        <v>44166</v>
      </c>
      <c r="B69" s="2" t="s">
        <v>74</v>
      </c>
      <c r="C69" s="1">
        <v>374</v>
      </c>
      <c r="D69" s="5">
        <f>CONVERT(C69,"mph","km/h")</f>
        <v>601.89465599999994</v>
      </c>
      <c r="E69" s="2" t="s">
        <v>24</v>
      </c>
      <c r="F69" s="2" t="s">
        <v>56</v>
      </c>
      <c r="G69" s="3" t="s">
        <v>57</v>
      </c>
      <c r="H69" s="8" t="s">
        <v>58</v>
      </c>
      <c r="I69">
        <f t="shared" si="2"/>
        <v>2020</v>
      </c>
    </row>
    <row r="70" spans="1:9" ht="30" x14ac:dyDescent="0.25">
      <c r="A70" s="15" t="s">
        <v>243</v>
      </c>
      <c r="B70" s="2" t="s">
        <v>73</v>
      </c>
      <c r="C70" s="1">
        <v>377</v>
      </c>
      <c r="D70" s="5">
        <f>CONVERT(C70,"mph","km/h")</f>
        <v>606.72268799999995</v>
      </c>
      <c r="E70" s="2" t="s">
        <v>24</v>
      </c>
      <c r="F70" s="2" t="s">
        <v>56</v>
      </c>
      <c r="G70" s="3" t="s">
        <v>57</v>
      </c>
      <c r="H70" s="8" t="s">
        <v>4</v>
      </c>
      <c r="I70">
        <f t="shared" si="2"/>
        <v>2015</v>
      </c>
    </row>
    <row r="71" spans="1:9" ht="30" x14ac:dyDescent="0.25">
      <c r="A71" s="15" t="s">
        <v>244</v>
      </c>
      <c r="B71" s="2" t="s">
        <v>72</v>
      </c>
      <c r="C71" s="1">
        <v>378</v>
      </c>
      <c r="D71" s="5">
        <f>CONVERT(C71,"mph","km/h")</f>
        <v>608.33203200000003</v>
      </c>
      <c r="E71" s="2" t="s">
        <v>53</v>
      </c>
      <c r="F71" s="2" t="s">
        <v>25</v>
      </c>
      <c r="G71" s="3" t="s">
        <v>6</v>
      </c>
      <c r="H71" s="8" t="s">
        <v>4</v>
      </c>
      <c r="I71">
        <f t="shared" si="2"/>
        <v>2025</v>
      </c>
    </row>
    <row r="72" spans="1:9" ht="30" x14ac:dyDescent="0.25">
      <c r="A72" s="15" t="s">
        <v>245</v>
      </c>
      <c r="B72" s="2" t="s">
        <v>68</v>
      </c>
      <c r="C72" s="1">
        <v>381</v>
      </c>
      <c r="D72" s="5">
        <f>CONVERT(C72,"mph","km/h")</f>
        <v>613.16006400000003</v>
      </c>
      <c r="E72" s="2" t="s">
        <v>1</v>
      </c>
      <c r="F72" s="2" t="s">
        <v>17</v>
      </c>
      <c r="G72" s="3" t="s">
        <v>3</v>
      </c>
      <c r="H72" s="8" t="s">
        <v>4</v>
      </c>
      <c r="I72">
        <f t="shared" si="2"/>
        <v>2022</v>
      </c>
    </row>
    <row r="73" spans="1:9" ht="30" x14ac:dyDescent="0.25">
      <c r="A73" s="15" t="s">
        <v>211</v>
      </c>
      <c r="B73" s="2" t="s">
        <v>69</v>
      </c>
      <c r="C73" s="1">
        <v>381</v>
      </c>
      <c r="D73" s="5">
        <f>CONVERT(C73,"mph","km/h")</f>
        <v>613.16006400000003</v>
      </c>
      <c r="E73" s="2" t="s">
        <v>16</v>
      </c>
      <c r="F73" s="2" t="s">
        <v>70</v>
      </c>
      <c r="G73" s="3" t="s">
        <v>71</v>
      </c>
      <c r="H73" s="8" t="s">
        <v>4</v>
      </c>
      <c r="I73">
        <f t="shared" si="2"/>
        <v>2023</v>
      </c>
    </row>
    <row r="74" spans="1:9" ht="30" x14ac:dyDescent="0.25">
      <c r="A74" s="15" t="s">
        <v>224</v>
      </c>
      <c r="B74" s="2" t="s">
        <v>66</v>
      </c>
      <c r="C74" s="1">
        <v>388</v>
      </c>
      <c r="D74" s="5">
        <f>CONVERT(C74,"mph","km/h")</f>
        <v>624.42547200000001</v>
      </c>
      <c r="E74" s="2" t="s">
        <v>24</v>
      </c>
      <c r="F74" s="2" t="s">
        <v>25</v>
      </c>
      <c r="G74" s="3" t="s">
        <v>67</v>
      </c>
      <c r="H74" s="8" t="s">
        <v>27</v>
      </c>
      <c r="I74">
        <f t="shared" si="2"/>
        <v>2013</v>
      </c>
    </row>
    <row r="75" spans="1:9" ht="30" x14ac:dyDescent="0.25">
      <c r="A75" s="15">
        <v>41030</v>
      </c>
      <c r="B75" s="2" t="s">
        <v>63</v>
      </c>
      <c r="C75" s="1">
        <v>394</v>
      </c>
      <c r="D75" s="5">
        <f>CONVERT(C75,"mph","km/h")</f>
        <v>634.08153600000003</v>
      </c>
      <c r="E75" s="2" t="s">
        <v>24</v>
      </c>
      <c r="F75" s="2" t="s">
        <v>64</v>
      </c>
      <c r="G75" s="3" t="s">
        <v>65</v>
      </c>
      <c r="H75" s="8" t="s">
        <v>27</v>
      </c>
      <c r="I75">
        <f t="shared" si="2"/>
        <v>2012</v>
      </c>
    </row>
    <row r="76" spans="1:9" ht="30" x14ac:dyDescent="0.25">
      <c r="A76" s="15" t="s">
        <v>246</v>
      </c>
      <c r="B76" s="2" t="s">
        <v>62</v>
      </c>
      <c r="C76" s="1">
        <v>397</v>
      </c>
      <c r="D76" s="5">
        <f>CONVERT(C76,"mph","km/h")</f>
        <v>638.90956800000004</v>
      </c>
      <c r="E76" s="2" t="s">
        <v>16</v>
      </c>
      <c r="F76" s="2" t="s">
        <v>25</v>
      </c>
      <c r="G76" s="3" t="s">
        <v>47</v>
      </c>
      <c r="H76" s="8" t="s">
        <v>27</v>
      </c>
      <c r="I76">
        <f t="shared" si="2"/>
        <v>2016</v>
      </c>
    </row>
    <row r="77" spans="1:9" ht="30" x14ac:dyDescent="0.25">
      <c r="A77" s="15" t="s">
        <v>247</v>
      </c>
      <c r="B77" s="2" t="s">
        <v>59</v>
      </c>
      <c r="C77" s="1">
        <v>400</v>
      </c>
      <c r="D77" s="5">
        <f>CONVERT(C77,"mph","km/h")</f>
        <v>643.73760000000004</v>
      </c>
      <c r="E77" s="2" t="s">
        <v>60</v>
      </c>
      <c r="F77" s="2" t="s">
        <v>34</v>
      </c>
      <c r="G77" s="3" t="s">
        <v>61</v>
      </c>
      <c r="H77" s="8" t="s">
        <v>27</v>
      </c>
      <c r="I77">
        <f t="shared" si="2"/>
        <v>2015</v>
      </c>
    </row>
    <row r="78" spans="1:9" ht="30" x14ac:dyDescent="0.25">
      <c r="A78" s="15">
        <v>44166</v>
      </c>
      <c r="B78" s="2" t="s">
        <v>54</v>
      </c>
      <c r="C78" s="1">
        <v>402</v>
      </c>
      <c r="D78" s="5">
        <f>CONVERT(C78,"mph","km/h")</f>
        <v>646.95628800000009</v>
      </c>
      <c r="E78" s="2" t="s">
        <v>55</v>
      </c>
      <c r="F78" s="2" t="s">
        <v>56</v>
      </c>
      <c r="G78" s="3" t="s">
        <v>57</v>
      </c>
      <c r="H78" s="8" t="s">
        <v>58</v>
      </c>
      <c r="I78">
        <f t="shared" si="2"/>
        <v>2020</v>
      </c>
    </row>
    <row r="79" spans="1:9" ht="30" x14ac:dyDescent="0.25">
      <c r="A79" s="15" t="s">
        <v>237</v>
      </c>
      <c r="B79" s="2" t="s">
        <v>52</v>
      </c>
      <c r="C79" s="1">
        <v>402</v>
      </c>
      <c r="D79" s="5">
        <f>CONVERT(C79,"mph","km/h")</f>
        <v>646.95628800000009</v>
      </c>
      <c r="E79" s="2" t="s">
        <v>53</v>
      </c>
      <c r="F79" s="2" t="s">
        <v>25</v>
      </c>
      <c r="G79" s="3" t="s">
        <v>3</v>
      </c>
      <c r="H79" s="8" t="s">
        <v>4</v>
      </c>
      <c r="I79">
        <f t="shared" si="2"/>
        <v>2014</v>
      </c>
    </row>
    <row r="80" spans="1:9" ht="30" x14ac:dyDescent="0.25">
      <c r="A80" s="15" t="s">
        <v>248</v>
      </c>
      <c r="B80" s="2" t="s">
        <v>50</v>
      </c>
      <c r="C80" s="1">
        <v>402</v>
      </c>
      <c r="D80" s="5">
        <f>CONVERT(C80,"mph","km/h")</f>
        <v>646.95628800000009</v>
      </c>
      <c r="E80" s="2" t="s">
        <v>24</v>
      </c>
      <c r="F80" s="2" t="s">
        <v>25</v>
      </c>
      <c r="G80" s="3" t="s">
        <v>51</v>
      </c>
      <c r="H80" s="8" t="s">
        <v>27</v>
      </c>
      <c r="I80">
        <f t="shared" si="2"/>
        <v>2010</v>
      </c>
    </row>
    <row r="81" spans="1:9" ht="42.75" x14ac:dyDescent="0.25">
      <c r="A81" s="15" t="s">
        <v>217</v>
      </c>
      <c r="B81" s="2" t="s">
        <v>48</v>
      </c>
      <c r="C81" s="1">
        <v>403</v>
      </c>
      <c r="D81" s="5">
        <f>CONVERT(C81,"mph","km/h")</f>
        <v>648.56563200000005</v>
      </c>
      <c r="E81" s="2" t="s">
        <v>31</v>
      </c>
      <c r="F81" s="2" t="s">
        <v>25</v>
      </c>
      <c r="G81" s="3" t="s">
        <v>49</v>
      </c>
      <c r="H81" s="8" t="s">
        <v>27</v>
      </c>
      <c r="I81">
        <f t="shared" si="2"/>
        <v>2022</v>
      </c>
    </row>
    <row r="82" spans="1:9" ht="30" x14ac:dyDescent="0.25">
      <c r="A82" s="15" t="s">
        <v>249</v>
      </c>
      <c r="B82" s="2" t="s">
        <v>45</v>
      </c>
      <c r="C82" s="1">
        <v>403</v>
      </c>
      <c r="D82" s="5">
        <f>CONVERT(C82,"mph","km/h")</f>
        <v>648.56563200000005</v>
      </c>
      <c r="E82" s="2" t="s">
        <v>46</v>
      </c>
      <c r="F82" s="2" t="s">
        <v>25</v>
      </c>
      <c r="G82" s="3" t="s">
        <v>47</v>
      </c>
      <c r="H82" s="8" t="s">
        <v>4</v>
      </c>
      <c r="I82">
        <f t="shared" si="2"/>
        <v>2013</v>
      </c>
    </row>
    <row r="83" spans="1:9" ht="30" x14ac:dyDescent="0.25">
      <c r="A83" s="15">
        <v>40576</v>
      </c>
      <c r="B83" s="2" t="s">
        <v>43</v>
      </c>
      <c r="C83" s="1">
        <v>405</v>
      </c>
      <c r="D83" s="5">
        <f>CONVERT(C83,"mph","km/h")</f>
        <v>651.78431999999998</v>
      </c>
      <c r="E83" s="2" t="s">
        <v>24</v>
      </c>
      <c r="F83" s="2" t="s">
        <v>44</v>
      </c>
      <c r="G83" s="3" t="s">
        <v>3</v>
      </c>
      <c r="H83" s="8" t="s">
        <v>4</v>
      </c>
      <c r="I83">
        <f t="shared" si="2"/>
        <v>2011</v>
      </c>
    </row>
    <row r="84" spans="1:9" ht="30" x14ac:dyDescent="0.25">
      <c r="A84" s="15" t="s">
        <v>250</v>
      </c>
      <c r="B84" s="2" t="s">
        <v>41</v>
      </c>
      <c r="C84" s="1">
        <v>406</v>
      </c>
      <c r="D84" s="5">
        <f>CONVERT(C84,"mph","km/h")</f>
        <v>653.39366400000006</v>
      </c>
      <c r="E84" s="2" t="s">
        <v>16</v>
      </c>
      <c r="F84" s="2" t="s">
        <v>8</v>
      </c>
      <c r="G84" s="3" t="s">
        <v>42</v>
      </c>
      <c r="H84" s="8" t="s">
        <v>4</v>
      </c>
      <c r="I84">
        <f t="shared" si="2"/>
        <v>2020</v>
      </c>
    </row>
    <row r="85" spans="1:9" ht="30" x14ac:dyDescent="0.25">
      <c r="A85" s="15" t="s">
        <v>249</v>
      </c>
      <c r="B85" s="2" t="s">
        <v>39</v>
      </c>
      <c r="C85" s="1">
        <v>407</v>
      </c>
      <c r="D85" s="5">
        <f>CONVERT(C85,"mph","km/h")</f>
        <v>655.00300800000002</v>
      </c>
      <c r="E85" s="2" t="s">
        <v>31</v>
      </c>
      <c r="F85" s="2" t="s">
        <v>25</v>
      </c>
      <c r="G85" s="3" t="s">
        <v>40</v>
      </c>
      <c r="H85" s="8" t="s">
        <v>27</v>
      </c>
      <c r="I85">
        <f t="shared" si="2"/>
        <v>2013</v>
      </c>
    </row>
    <row r="86" spans="1:9" ht="30" x14ac:dyDescent="0.25">
      <c r="A86" s="15" t="s">
        <v>251</v>
      </c>
      <c r="B86" s="2" t="s">
        <v>38</v>
      </c>
      <c r="C86" s="1">
        <v>410</v>
      </c>
      <c r="D86" s="5">
        <f>CONVERT(C86,"mph","km/h")</f>
        <v>659.83103999999992</v>
      </c>
      <c r="E86" s="2" t="s">
        <v>16</v>
      </c>
      <c r="F86" s="2" t="s">
        <v>17</v>
      </c>
      <c r="G86" s="3" t="s">
        <v>6</v>
      </c>
      <c r="H86" s="8" t="s">
        <v>4</v>
      </c>
      <c r="I86">
        <f t="shared" si="2"/>
        <v>2022</v>
      </c>
    </row>
    <row r="87" spans="1:9" ht="30" x14ac:dyDescent="0.25">
      <c r="A87" s="15" t="s">
        <v>252</v>
      </c>
      <c r="B87" s="2" t="s">
        <v>36</v>
      </c>
      <c r="C87" s="1">
        <v>410</v>
      </c>
      <c r="D87" s="5">
        <f>CONVERT(C87,"mph","km/h")</f>
        <v>659.83103999999992</v>
      </c>
      <c r="E87" s="2" t="s">
        <v>16</v>
      </c>
      <c r="F87" s="2" t="s">
        <v>25</v>
      </c>
      <c r="G87" s="3" t="s">
        <v>37</v>
      </c>
      <c r="H87" s="8" t="s">
        <v>4</v>
      </c>
      <c r="I87">
        <f t="shared" si="2"/>
        <v>2017</v>
      </c>
    </row>
    <row r="88" spans="1:9" ht="30" x14ac:dyDescent="0.25">
      <c r="A88" s="15" t="s">
        <v>247</v>
      </c>
      <c r="B88" s="2" t="s">
        <v>33</v>
      </c>
      <c r="C88" s="1">
        <v>417</v>
      </c>
      <c r="D88" s="5">
        <f>CONVERT(C88,"mph","km/h")</f>
        <v>671.09644800000001</v>
      </c>
      <c r="E88" s="2" t="s">
        <v>16</v>
      </c>
      <c r="F88" s="2" t="s">
        <v>34</v>
      </c>
      <c r="G88" s="3" t="s">
        <v>35</v>
      </c>
      <c r="H88" s="8" t="s">
        <v>27</v>
      </c>
      <c r="I88">
        <f t="shared" si="2"/>
        <v>2015</v>
      </c>
    </row>
    <row r="89" spans="1:9" ht="30" x14ac:dyDescent="0.25">
      <c r="A89" s="15">
        <v>46085</v>
      </c>
      <c r="B89" s="2" t="s">
        <v>30</v>
      </c>
      <c r="C89" s="1">
        <v>419</v>
      </c>
      <c r="D89" s="5">
        <f>CONVERT(C89,"mph","km/h")</f>
        <v>674.31513599999994</v>
      </c>
      <c r="E89" s="2" t="s">
        <v>31</v>
      </c>
      <c r="F89" s="2" t="s">
        <v>17</v>
      </c>
      <c r="G89" s="3" t="s">
        <v>32</v>
      </c>
      <c r="H89" s="8" t="s">
        <v>4</v>
      </c>
      <c r="I89">
        <f t="shared" si="2"/>
        <v>2026</v>
      </c>
    </row>
    <row r="90" spans="1:9" ht="30" x14ac:dyDescent="0.25">
      <c r="A90" s="15">
        <v>43438</v>
      </c>
      <c r="B90" s="2" t="s">
        <v>29</v>
      </c>
      <c r="C90" s="1">
        <v>419</v>
      </c>
      <c r="D90" s="5">
        <f>CONVERT(C90,"mph","km/h")</f>
        <v>674.31513599999994</v>
      </c>
      <c r="E90" s="2" t="s">
        <v>16</v>
      </c>
      <c r="F90" s="2" t="s">
        <v>25</v>
      </c>
      <c r="G90" s="3" t="s">
        <v>3</v>
      </c>
      <c r="H90" s="8" t="s">
        <v>4</v>
      </c>
      <c r="I90">
        <f t="shared" si="2"/>
        <v>2018</v>
      </c>
    </row>
    <row r="91" spans="1:9" ht="30" x14ac:dyDescent="0.25">
      <c r="A91" s="15" t="s">
        <v>253</v>
      </c>
      <c r="B91" s="2" t="s">
        <v>28</v>
      </c>
      <c r="C91" s="1">
        <v>429</v>
      </c>
      <c r="D91" s="5">
        <f>CONVERT(C91,"mph","km/h")</f>
        <v>690.40857600000004</v>
      </c>
      <c r="E91" s="2" t="s">
        <v>16</v>
      </c>
      <c r="F91" s="2" t="s">
        <v>25</v>
      </c>
      <c r="G91" s="3" t="s">
        <v>6</v>
      </c>
      <c r="H91" s="8" t="s">
        <v>4</v>
      </c>
      <c r="I91">
        <f t="shared" si="2"/>
        <v>2016</v>
      </c>
    </row>
    <row r="92" spans="1:9" ht="30" x14ac:dyDescent="0.25">
      <c r="A92" s="15" t="s">
        <v>248</v>
      </c>
      <c r="B92" s="2" t="s">
        <v>23</v>
      </c>
      <c r="C92" s="1">
        <v>445</v>
      </c>
      <c r="D92" s="5">
        <f>CONVERT(C92,"mph","km/h")</f>
        <v>716.15807999999993</v>
      </c>
      <c r="E92" s="2" t="s">
        <v>24</v>
      </c>
      <c r="F92" s="2" t="s">
        <v>25</v>
      </c>
      <c r="G92" s="3" t="s">
        <v>26</v>
      </c>
      <c r="H92" s="8" t="s">
        <v>27</v>
      </c>
      <c r="I92">
        <f t="shared" si="2"/>
        <v>2010</v>
      </c>
    </row>
    <row r="93" spans="1:9" ht="30" x14ac:dyDescent="0.25">
      <c r="A93" s="15" t="s">
        <v>232</v>
      </c>
      <c r="B93" s="2" t="s">
        <v>22</v>
      </c>
      <c r="C93" s="1">
        <v>472</v>
      </c>
      <c r="D93" s="5">
        <f>CONVERT(C93,"mph","km/h")</f>
        <v>759.61036799999999</v>
      </c>
      <c r="E93" s="2" t="s">
        <v>1</v>
      </c>
      <c r="F93" s="2" t="s">
        <v>17</v>
      </c>
      <c r="G93" s="3" t="s">
        <v>3</v>
      </c>
      <c r="H93" s="8" t="s">
        <v>4</v>
      </c>
      <c r="I93">
        <f t="shared" si="2"/>
        <v>2021</v>
      </c>
    </row>
    <row r="94" spans="1:9" ht="30" x14ac:dyDescent="0.25">
      <c r="A94" s="15" t="s">
        <v>254</v>
      </c>
      <c r="B94" s="2" t="s">
        <v>18</v>
      </c>
      <c r="C94" s="1">
        <v>473</v>
      </c>
      <c r="D94" s="5">
        <f>CONVERT(C94,"mph","km/h")</f>
        <v>761.21971199999996</v>
      </c>
      <c r="E94" s="2" t="s">
        <v>19</v>
      </c>
      <c r="F94" s="2" t="s">
        <v>20</v>
      </c>
      <c r="G94" s="3" t="s">
        <v>21</v>
      </c>
      <c r="H94" s="8" t="s">
        <v>4</v>
      </c>
      <c r="I94">
        <f t="shared" si="2"/>
        <v>2012</v>
      </c>
    </row>
    <row r="95" spans="1:9" ht="30" x14ac:dyDescent="0.25">
      <c r="A95" s="15" t="s">
        <v>255</v>
      </c>
      <c r="B95" s="2" t="s">
        <v>15</v>
      </c>
      <c r="C95" s="1">
        <v>480</v>
      </c>
      <c r="D95" s="5">
        <f>CONVERT(C95,"mph","km/h")</f>
        <v>772.48512000000005</v>
      </c>
      <c r="E95" s="2" t="s">
        <v>16</v>
      </c>
      <c r="F95" s="2" t="s">
        <v>17</v>
      </c>
      <c r="G95" s="3" t="s">
        <v>3</v>
      </c>
      <c r="H95" s="8" t="s">
        <v>4</v>
      </c>
      <c r="I95">
        <f t="shared" si="2"/>
        <v>2020</v>
      </c>
    </row>
    <row r="96" spans="1:9" ht="30" x14ac:dyDescent="0.25">
      <c r="A96" s="15">
        <v>46057</v>
      </c>
      <c r="B96" s="2" t="s">
        <v>14</v>
      </c>
      <c r="C96" s="1">
        <v>500</v>
      </c>
      <c r="D96" s="5">
        <f>CONVERT(C96,"mph","km/h")</f>
        <v>804.67200000000003</v>
      </c>
      <c r="E96" s="2" t="s">
        <v>1</v>
      </c>
      <c r="F96" s="2" t="s">
        <v>2</v>
      </c>
      <c r="G96" s="3" t="s">
        <v>3</v>
      </c>
      <c r="H96" s="8" t="s">
        <v>4</v>
      </c>
      <c r="I96">
        <f t="shared" si="2"/>
        <v>2026</v>
      </c>
    </row>
    <row r="97" spans="1:9" ht="30" x14ac:dyDescent="0.25">
      <c r="A97" s="15" t="s">
        <v>256</v>
      </c>
      <c r="B97" s="2" t="s">
        <v>13</v>
      </c>
      <c r="C97" s="1">
        <v>531</v>
      </c>
      <c r="D97" s="5">
        <f>CONVERT(C97,"mph","km/h")</f>
        <v>854.56166400000006</v>
      </c>
      <c r="E97" s="2" t="s">
        <v>1</v>
      </c>
      <c r="F97" s="2" t="s">
        <v>2</v>
      </c>
      <c r="G97" s="3" t="s">
        <v>3</v>
      </c>
      <c r="H97" s="8" t="s">
        <v>4</v>
      </c>
      <c r="I97">
        <f t="shared" si="2"/>
        <v>2025</v>
      </c>
    </row>
    <row r="98" spans="1:9" ht="30" x14ac:dyDescent="0.25">
      <c r="A98" s="15">
        <v>46057</v>
      </c>
      <c r="B98" s="2" t="s">
        <v>10</v>
      </c>
      <c r="C98" s="1">
        <v>534</v>
      </c>
      <c r="D98" s="5">
        <f>CONVERT(C98,"mph","km/h")</f>
        <v>859.38969599999996</v>
      </c>
      <c r="E98" s="2" t="s">
        <v>11</v>
      </c>
      <c r="F98" s="2" t="s">
        <v>2</v>
      </c>
      <c r="G98" s="3" t="s">
        <v>12</v>
      </c>
      <c r="H98" s="8" t="s">
        <v>4</v>
      </c>
      <c r="I98">
        <f t="shared" si="2"/>
        <v>2026</v>
      </c>
    </row>
    <row r="99" spans="1:9" ht="30" x14ac:dyDescent="0.25">
      <c r="A99" s="15" t="s">
        <v>250</v>
      </c>
      <c r="B99" s="2" t="s">
        <v>7</v>
      </c>
      <c r="C99" s="1">
        <v>539</v>
      </c>
      <c r="D99" s="5">
        <f>CONVERT(C99,"mph","km/h")</f>
        <v>867.43641600000001</v>
      </c>
      <c r="E99" s="2" t="s">
        <v>1</v>
      </c>
      <c r="F99" s="2" t="s">
        <v>8</v>
      </c>
      <c r="G99" s="3" t="s">
        <v>9</v>
      </c>
      <c r="H99" s="8" t="s">
        <v>4</v>
      </c>
      <c r="I99">
        <f t="shared" si="2"/>
        <v>2020</v>
      </c>
    </row>
    <row r="100" spans="1:9" ht="30" x14ac:dyDescent="0.25">
      <c r="A100" s="15" t="s">
        <v>257</v>
      </c>
      <c r="B100" s="2" t="s">
        <v>5</v>
      </c>
      <c r="C100" s="1">
        <v>564</v>
      </c>
      <c r="D100" s="5">
        <f>CONVERT(C100,"mph","km/h")</f>
        <v>907.67001600000003</v>
      </c>
      <c r="E100" s="2" t="s">
        <v>1</v>
      </c>
      <c r="F100" s="2" t="s">
        <v>2</v>
      </c>
      <c r="G100" s="3" t="s">
        <v>6</v>
      </c>
      <c r="H100" s="8" t="s">
        <v>4</v>
      </c>
      <c r="I100">
        <f t="shared" si="2"/>
        <v>2023</v>
      </c>
    </row>
    <row r="101" spans="1:9" ht="30" x14ac:dyDescent="0.25">
      <c r="A101" s="16">
        <v>46057</v>
      </c>
      <c r="B101" s="9" t="s">
        <v>0</v>
      </c>
      <c r="C101" s="10">
        <v>567</v>
      </c>
      <c r="D101" s="5">
        <f>CONVERT(C101,"mph","km/h")</f>
        <v>912.49804799999993</v>
      </c>
      <c r="E101" s="9" t="s">
        <v>1</v>
      </c>
      <c r="F101" s="9" t="s">
        <v>2</v>
      </c>
      <c r="G101" s="11" t="s">
        <v>3</v>
      </c>
      <c r="H101" s="12" t="s">
        <v>4</v>
      </c>
      <c r="I101">
        <f t="shared" si="2"/>
        <v>2026</v>
      </c>
    </row>
  </sheetData>
  <sortState xmlns:xlrd2="http://schemas.microsoft.com/office/spreadsheetml/2017/richdata2" ref="A2:H101">
    <sortCondition ref="D1:D101"/>
  </sortState>
  <hyperlinks>
    <hyperlink ref="A101" r:id="rId1" display="javascript:__doPostBack('ctl00$MainContent$gvACSpeeds','Date$0')" xr:uid="{DBC8CC0F-A8FE-4E2E-A2A1-82571C3B7AAB}"/>
    <hyperlink ref="B101" r:id="rId2" display="javascript:__doPostBack('ctl00$MainContent$gvACSpeeds','Pilot$0')" xr:uid="{85867058-1CBD-4311-B96B-B8904FAE8263}"/>
    <hyperlink ref="E101" r:id="rId3" display="javascript:__doPostBack('ctl00$MainContent$gvACSpeeds','Plane$0')" xr:uid="{BCAD680A-5F6E-476A-81AD-6BC8B2AC3D7A}"/>
    <hyperlink ref="F101" r:id="rId4" display="javascript:__doPostBack('ctl00$MainContent$gvACSpeeds','Location$0')" xr:uid="{5D4F4409-EF46-46F3-9868-9021C9EF6941}"/>
    <hyperlink ref="A100" r:id="rId5" display="javascript:__doPostBack('ctl00$MainContent$gvACSpeeds','Date$1')" xr:uid="{28380F1A-9681-4488-8227-61F4013C61A2}"/>
    <hyperlink ref="B100" r:id="rId6" display="javascript:__doPostBack('ctl00$MainContent$gvACSpeeds','Pilot$1')" xr:uid="{4B930E51-C6EB-4352-81C6-65A7D26B507E}"/>
    <hyperlink ref="E100" r:id="rId7" display="javascript:__doPostBack('ctl00$MainContent$gvACSpeeds','Plane$1')" xr:uid="{38B5F1A6-533B-4960-B144-4159A45E9AB5}"/>
    <hyperlink ref="F100" r:id="rId8" display="javascript:__doPostBack('ctl00$MainContent$gvACSpeeds','Location$1')" xr:uid="{C3949A22-45E2-4134-8F7E-59A0948DCDD2}"/>
    <hyperlink ref="A99" r:id="rId9" display="javascript:__doPostBack('ctl00$MainContent$gvACSpeeds','Date$2')" xr:uid="{DA80CA3A-28E9-497D-9E05-CF9115DE9DA9}"/>
    <hyperlink ref="B99" r:id="rId10" display="javascript:__doPostBack('ctl00$MainContent$gvACSpeeds','Pilot$2')" xr:uid="{23928FC5-27A8-4A41-A8CE-A05DE04F5CE6}"/>
    <hyperlink ref="E99" r:id="rId11" display="javascript:__doPostBack('ctl00$MainContent$gvACSpeeds','Plane$2')" xr:uid="{E7B18A4D-09F2-4E76-8F0C-DD9A6CD02F69}"/>
    <hyperlink ref="F99" r:id="rId12" display="javascript:__doPostBack('ctl00$MainContent$gvACSpeeds','Location$2')" xr:uid="{C186D03E-74E9-4981-A42D-4FE6CF694C29}"/>
    <hyperlink ref="A98" r:id="rId13" display="javascript:__doPostBack('ctl00$MainContent$gvACSpeeds','Date$3')" xr:uid="{0B2A442D-CADD-4C75-A053-4024374093C5}"/>
    <hyperlink ref="B98" r:id="rId14" display="javascript:__doPostBack('ctl00$MainContent$gvACSpeeds','Pilot$3')" xr:uid="{6051A15B-D3C4-42C5-A996-09C25E2F509F}"/>
    <hyperlink ref="E98" r:id="rId15" display="javascript:__doPostBack('ctl00$MainContent$gvACSpeeds','Plane$3')" xr:uid="{C3F911DC-B5E4-4BB8-A163-48BDF44AF0AB}"/>
    <hyperlink ref="F98" r:id="rId16" display="javascript:__doPostBack('ctl00$MainContent$gvACSpeeds','Location$3')" xr:uid="{82348255-1A04-4881-B2F0-0B324FE454C9}"/>
    <hyperlink ref="A97" r:id="rId17" display="javascript:__doPostBack('ctl00$MainContent$gvACSpeeds','Date$4')" xr:uid="{3C264545-BB55-4AEC-965C-9C8202499706}"/>
    <hyperlink ref="B97" r:id="rId18" display="javascript:__doPostBack('ctl00$MainContent$gvACSpeeds','Pilot$4')" xr:uid="{8AFAC0BB-99ED-4CC0-A14A-5B8F5AAD6B59}"/>
    <hyperlink ref="E97" r:id="rId19" display="javascript:__doPostBack('ctl00$MainContent$gvACSpeeds','Plane$4')" xr:uid="{225555C4-BF4B-4AD8-8C63-BC9751C325A1}"/>
    <hyperlink ref="F97" r:id="rId20" display="javascript:__doPostBack('ctl00$MainContent$gvACSpeeds','Location$4')" xr:uid="{B3957073-7FCF-434B-B45B-2456A401B0E2}"/>
    <hyperlink ref="A96" r:id="rId21" display="javascript:__doPostBack('ctl00$MainContent$gvACSpeeds','Date$5')" xr:uid="{50C7A5DF-857C-4380-A027-50FD32EB56B5}"/>
    <hyperlink ref="B96" r:id="rId22" display="javascript:__doPostBack('ctl00$MainContent$gvACSpeeds','Pilot$5')" xr:uid="{0C23315D-478F-402F-8EB0-558839F606B0}"/>
    <hyperlink ref="E96" r:id="rId23" display="javascript:__doPostBack('ctl00$MainContent$gvACSpeeds','Plane$5')" xr:uid="{D6677CBA-1784-45AA-8F1C-E861BB75D24F}"/>
    <hyperlink ref="F96" r:id="rId24" display="javascript:__doPostBack('ctl00$MainContent$gvACSpeeds','Location$5')" xr:uid="{B350F44E-8203-4C56-96A4-5340E12BE904}"/>
    <hyperlink ref="A95" r:id="rId25" display="javascript:__doPostBack('ctl00$MainContent$gvACSpeeds','Date$6')" xr:uid="{9783C12C-B08D-4DEA-934D-34D592B941C8}"/>
    <hyperlink ref="B95" r:id="rId26" display="javascript:__doPostBack('ctl00$MainContent$gvACSpeeds','Pilot$6')" xr:uid="{FACD87F8-BC94-4184-B44F-FAFD655B66D5}"/>
    <hyperlink ref="E95" r:id="rId27" display="javascript:__doPostBack('ctl00$MainContent$gvACSpeeds','Plane$6')" xr:uid="{6470A690-E7F2-448F-8CB9-CE38DA146009}"/>
    <hyperlink ref="F95" r:id="rId28" display="javascript:__doPostBack('ctl00$MainContent$gvACSpeeds','Location$6')" xr:uid="{305EC646-053A-4A25-B4BB-CC0C659CCB5B}"/>
    <hyperlink ref="A94" r:id="rId29" display="javascript:__doPostBack('ctl00$MainContent$gvACSpeeds','Date$7')" xr:uid="{EFF8E3CF-2108-43FF-979A-7B078D4EF418}"/>
    <hyperlink ref="B94" r:id="rId30" display="javascript:__doPostBack('ctl00$MainContent$gvACSpeeds','Pilot$7')" xr:uid="{BB7B7319-8298-4C09-8CD5-36AB24D99452}"/>
    <hyperlink ref="E94" r:id="rId31" display="javascript:__doPostBack('ctl00$MainContent$gvACSpeeds','Plane$7')" xr:uid="{E1800AE8-C98A-4471-9951-C32F5BC7A93E}"/>
    <hyperlink ref="F94" r:id="rId32" display="javascript:__doPostBack('ctl00$MainContent$gvACSpeeds','Location$7')" xr:uid="{B191977D-A1AE-408C-BBFA-AB175DA29B80}"/>
    <hyperlink ref="A93" r:id="rId33" display="javascript:__doPostBack('ctl00$MainContent$gvACSpeeds','Date$8')" xr:uid="{3EF54490-E017-43D7-A593-5328634ACC4E}"/>
    <hyperlink ref="B93" r:id="rId34" display="javascript:__doPostBack('ctl00$MainContent$gvACSpeeds','Pilot$8')" xr:uid="{572D5DFE-3327-42D4-ACBE-A058BB8E3DFD}"/>
    <hyperlink ref="E93" r:id="rId35" display="javascript:__doPostBack('ctl00$MainContent$gvACSpeeds','Plane$8')" xr:uid="{8EF3FE45-EF04-46BC-8694-3AF100A2BBEB}"/>
    <hyperlink ref="F93" r:id="rId36" display="javascript:__doPostBack('ctl00$MainContent$gvACSpeeds','Location$8')" xr:uid="{056DF6C9-75A2-4189-80A7-44C5D41836FE}"/>
    <hyperlink ref="A92" r:id="rId37" display="javascript:__doPostBack('ctl00$MainContent$gvACSpeeds','Date$9')" xr:uid="{6E0D72F6-8E53-4D03-B9F3-3FF70BC0760B}"/>
    <hyperlink ref="B92" r:id="rId38" display="javascript:__doPostBack('ctl00$MainContent$gvACSpeeds','Pilot$9')" xr:uid="{8F27A885-CAEC-4B8E-8C65-1F39C7F27E9D}"/>
    <hyperlink ref="E92" r:id="rId39" display="javascript:__doPostBack('ctl00$MainContent$gvACSpeeds','Plane$9')" xr:uid="{C4346366-D441-4F4B-93B1-B9A6A03E9130}"/>
    <hyperlink ref="F92" r:id="rId40" display="javascript:__doPostBack('ctl00$MainContent$gvACSpeeds','Location$9')" xr:uid="{FAFA6C94-0005-40E1-A2F9-4206AB17E22A}"/>
    <hyperlink ref="A91" r:id="rId41" display="javascript:__doPostBack('ctl00$MainContent$gvACSpeeds','Date$10')" xr:uid="{B657555C-8DBC-4D82-824B-95A990BDCDC6}"/>
    <hyperlink ref="B91" r:id="rId42" display="javascript:__doPostBack('ctl00$MainContent$gvACSpeeds','Pilot$10')" xr:uid="{8E2D7255-C196-48FA-ACF5-1B7F21EBE259}"/>
    <hyperlink ref="E91" r:id="rId43" display="javascript:__doPostBack('ctl00$MainContent$gvACSpeeds','Plane$10')" xr:uid="{A7F87A1C-9108-4D28-B84D-C5E0276EA1FD}"/>
    <hyperlink ref="F91" r:id="rId44" display="javascript:__doPostBack('ctl00$MainContent$gvACSpeeds','Location$10')" xr:uid="{27FEDD7B-CE49-4DA9-A88E-87E8857D9877}"/>
    <hyperlink ref="A90" r:id="rId45" display="javascript:__doPostBack('ctl00$MainContent$gvACSpeeds','Date$11')" xr:uid="{8D4FDEA3-CBA9-432D-85D7-8289EDEF404F}"/>
    <hyperlink ref="B90" r:id="rId46" display="javascript:__doPostBack('ctl00$MainContent$gvACSpeeds','Pilot$11')" xr:uid="{89FB96A4-70CE-4209-9C90-1E5CA4C136EF}"/>
    <hyperlink ref="E90" r:id="rId47" display="javascript:__doPostBack('ctl00$MainContent$gvACSpeeds','Plane$11')" xr:uid="{3F0B0373-9D68-4ECF-B36A-3D6E8F6BBA87}"/>
    <hyperlink ref="F90" r:id="rId48" display="javascript:__doPostBack('ctl00$MainContent$gvACSpeeds','Location$11')" xr:uid="{D9E65E4C-DC33-4171-B315-B514A61B8E2D}"/>
    <hyperlink ref="A89" r:id="rId49" display="javascript:__doPostBack('ctl00$MainContent$gvACSpeeds','Date$12')" xr:uid="{A02E1FBB-21CC-4A27-BE3C-DF01E360304D}"/>
    <hyperlink ref="B89" r:id="rId50" display="javascript:__doPostBack('ctl00$MainContent$gvACSpeeds','Pilot$12')" xr:uid="{E2D23E5F-E211-42CE-9785-A546FEA95EA8}"/>
    <hyperlink ref="E89" r:id="rId51" display="javascript:__doPostBack('ctl00$MainContent$gvACSpeeds','Plane$12')" xr:uid="{49ABB3CB-1ED0-4AEE-9401-B391D01D4AB8}"/>
    <hyperlink ref="F89" r:id="rId52" display="javascript:__doPostBack('ctl00$MainContent$gvACSpeeds','Location$12')" xr:uid="{B33E7436-4D71-4226-9D4D-85A8658ACD8E}"/>
    <hyperlink ref="A88" r:id="rId53" display="javascript:__doPostBack('ctl00$MainContent$gvACSpeeds','Date$13')" xr:uid="{2B1220CF-852C-43BE-8299-D3B7F45C2D51}"/>
    <hyperlink ref="B88" r:id="rId54" display="javascript:__doPostBack('ctl00$MainContent$gvACSpeeds','Pilot$13')" xr:uid="{D51B340D-45EF-4F90-AF29-2A167DBB810A}"/>
    <hyperlink ref="E88" r:id="rId55" display="javascript:__doPostBack('ctl00$MainContent$gvACSpeeds','Plane$13')" xr:uid="{699BEE4C-8B32-44D4-82C2-6FEAA7259483}"/>
    <hyperlink ref="F88" r:id="rId56" display="javascript:__doPostBack('ctl00$MainContent$gvACSpeeds','Location$13')" xr:uid="{91105356-AD6A-482D-9EE6-E1687B3AF2F5}"/>
    <hyperlink ref="A87" r:id="rId57" display="javascript:__doPostBack('ctl00$MainContent$gvACSpeeds','Date$14')" xr:uid="{BE299B9B-D2B7-4064-A4F5-0D349E084D68}"/>
    <hyperlink ref="B87" r:id="rId58" display="javascript:__doPostBack('ctl00$MainContent$gvACSpeeds','Pilot$14')" xr:uid="{C2E2202C-CDAD-4CF9-B30E-459BF8978C3A}"/>
    <hyperlink ref="E87" r:id="rId59" display="javascript:__doPostBack('ctl00$MainContent$gvACSpeeds','Plane$14')" xr:uid="{42D61EB2-291C-4CBB-8B6C-F239EE5AA264}"/>
    <hyperlink ref="F87" r:id="rId60" display="javascript:__doPostBack('ctl00$MainContent$gvACSpeeds','Location$14')" xr:uid="{0D4E6519-C2FD-4B61-8714-6B3E28423CE3}"/>
    <hyperlink ref="A86" r:id="rId61" display="javascript:__doPostBack('ctl00$MainContent$gvACSpeeds','Date$15')" xr:uid="{4250900B-0B27-4DC8-8FE6-75B080AF1B55}"/>
    <hyperlink ref="B86" r:id="rId62" display="javascript:__doPostBack('ctl00$MainContent$gvACSpeeds','Pilot$15')" xr:uid="{87A6B014-0CB9-4DFA-9BEA-B7E9141579D0}"/>
    <hyperlink ref="E86" r:id="rId63" display="javascript:__doPostBack('ctl00$MainContent$gvACSpeeds','Plane$15')" xr:uid="{4C20F2E2-9887-4B35-BB19-A100730B3360}"/>
    <hyperlink ref="F86" r:id="rId64" display="javascript:__doPostBack('ctl00$MainContent$gvACSpeeds','Location$15')" xr:uid="{7931EA13-7094-4F52-9350-1E332779D6F8}"/>
    <hyperlink ref="A85" r:id="rId65" display="javascript:__doPostBack('ctl00$MainContent$gvACSpeeds','Date$16')" xr:uid="{D527C237-1566-4D28-B1C4-259B967A331B}"/>
    <hyperlink ref="B85" r:id="rId66" display="javascript:__doPostBack('ctl00$MainContent$gvACSpeeds','Pilot$16')" xr:uid="{30AB09DE-06D9-40C6-8E75-CFF0648395D2}"/>
    <hyperlink ref="E85" r:id="rId67" display="javascript:__doPostBack('ctl00$MainContent$gvACSpeeds','Plane$16')" xr:uid="{279F16DC-39C4-4029-87E2-631436E1F6C4}"/>
    <hyperlink ref="F85" r:id="rId68" display="javascript:__doPostBack('ctl00$MainContent$gvACSpeeds','Location$16')" xr:uid="{18131AB9-8CEC-4A4C-AB0B-0B385AFE6F68}"/>
    <hyperlink ref="A84" r:id="rId69" display="javascript:__doPostBack('ctl00$MainContent$gvACSpeeds','Date$17')" xr:uid="{5FF4D50B-45E6-45F3-9A6B-90F5A73D168D}"/>
    <hyperlink ref="B84" r:id="rId70" display="javascript:__doPostBack('ctl00$MainContent$gvACSpeeds','Pilot$17')" xr:uid="{FFAB9DDE-8236-48D3-98B1-85635921B8B2}"/>
    <hyperlink ref="E84" r:id="rId71" display="javascript:__doPostBack('ctl00$MainContent$gvACSpeeds','Plane$17')" xr:uid="{7BC67048-9EA3-4D28-B012-DB1966C746FE}"/>
    <hyperlink ref="F84" r:id="rId72" display="javascript:__doPostBack('ctl00$MainContent$gvACSpeeds','Location$17')" xr:uid="{8D33DE8A-106D-4931-B7A0-59F43E22B297}"/>
    <hyperlink ref="A83" r:id="rId73" display="javascript:__doPostBack('ctl00$MainContent$gvACSpeeds','Date$18')" xr:uid="{89D35663-18F1-4887-B64B-A4327692A677}"/>
    <hyperlink ref="B83" r:id="rId74" display="javascript:__doPostBack('ctl00$MainContent$gvACSpeeds','Pilot$18')" xr:uid="{69CF37FA-F16E-4E5D-B45B-1DCD82B5257D}"/>
    <hyperlink ref="E83" r:id="rId75" display="javascript:__doPostBack('ctl00$MainContent$gvACSpeeds','Plane$18')" xr:uid="{03643034-F61E-47B8-92EC-22F66205D1F2}"/>
    <hyperlink ref="F83" r:id="rId76" display="javascript:__doPostBack('ctl00$MainContent$gvACSpeeds','Location$18')" xr:uid="{461B0AE0-E55B-4264-BD91-C21983247655}"/>
    <hyperlink ref="A82" r:id="rId77" display="javascript:__doPostBack('ctl00$MainContent$gvACSpeeds','Date$19')" xr:uid="{F4AFCF35-F7A0-4C4F-B1C8-E3BA08830740}"/>
    <hyperlink ref="B82" r:id="rId78" display="javascript:__doPostBack('ctl00$MainContent$gvACSpeeds','Pilot$19')" xr:uid="{82CD9A22-98A1-4FB7-A459-11824E137EEC}"/>
    <hyperlink ref="E82" r:id="rId79" display="javascript:__doPostBack('ctl00$MainContent$gvACSpeeds','Plane$19')" xr:uid="{46FFDFF6-AA16-4D6B-8D45-C07BC6FB1DEA}"/>
    <hyperlink ref="F82" r:id="rId80" display="javascript:__doPostBack('ctl00$MainContent$gvACSpeeds','Location$19')" xr:uid="{7B0BF90B-B362-4D84-B81D-8D1EC9CB40D7}"/>
    <hyperlink ref="A81" r:id="rId81" display="javascript:__doPostBack('ctl00$MainContent$gvACSpeeds','Date$20')" xr:uid="{CBF98D2E-9438-4A15-899A-C8C916ECE5C1}"/>
    <hyperlink ref="B81" r:id="rId82" display="javascript:__doPostBack('ctl00$MainContent$gvACSpeeds','Pilot$20')" xr:uid="{A2B2958C-E12F-4A59-AA33-AF2D7A447015}"/>
    <hyperlink ref="E81" r:id="rId83" display="javascript:__doPostBack('ctl00$MainContent$gvACSpeeds','Plane$20')" xr:uid="{A13CFD0C-759F-444E-8BB9-7D893412303A}"/>
    <hyperlink ref="F81" r:id="rId84" display="javascript:__doPostBack('ctl00$MainContent$gvACSpeeds','Location$20')" xr:uid="{17070CD5-EB4F-49EA-A723-5EC2A3B60D2B}"/>
    <hyperlink ref="A80" r:id="rId85" display="javascript:__doPostBack('ctl00$MainContent$gvACSpeeds','Date$21')" xr:uid="{97EF0F16-6432-493E-A03B-BF4E1F46625B}"/>
    <hyperlink ref="B80" r:id="rId86" display="javascript:__doPostBack('ctl00$MainContent$gvACSpeeds','Pilot$21')" xr:uid="{BF2758E4-4A76-487D-9857-932185940161}"/>
    <hyperlink ref="E80" r:id="rId87" display="javascript:__doPostBack('ctl00$MainContent$gvACSpeeds','Plane$21')" xr:uid="{7EA800D5-CB4D-40FA-9574-C2CE6B276AA5}"/>
    <hyperlink ref="F80" r:id="rId88" display="javascript:__doPostBack('ctl00$MainContent$gvACSpeeds','Location$21')" xr:uid="{1D72CB7D-48A4-4546-8051-E79D5481B7E8}"/>
    <hyperlink ref="A79" r:id="rId89" display="javascript:__doPostBack('ctl00$MainContent$gvACSpeeds','Date$22')" xr:uid="{A70813E4-E930-47AE-ADE5-07DFB30E899A}"/>
    <hyperlink ref="B79" r:id="rId90" display="javascript:__doPostBack('ctl00$MainContent$gvACSpeeds','Pilot$22')" xr:uid="{ECCC58D1-B90C-4AD4-B2F7-4F484609527E}"/>
    <hyperlink ref="E79" r:id="rId91" display="javascript:__doPostBack('ctl00$MainContent$gvACSpeeds','Plane$22')" xr:uid="{4BB24FBE-B19A-422B-82D6-C1820029BB68}"/>
    <hyperlink ref="F79" r:id="rId92" display="javascript:__doPostBack('ctl00$MainContent$gvACSpeeds','Location$22')" xr:uid="{554CBCC9-51E8-4F3B-ADCF-C5461CE242A6}"/>
    <hyperlink ref="A78" r:id="rId93" display="javascript:__doPostBack('ctl00$MainContent$gvACSpeeds','Date$23')" xr:uid="{1FEB37C0-4B0A-435E-956D-EBF142A3D92E}"/>
    <hyperlink ref="B78" r:id="rId94" display="javascript:__doPostBack('ctl00$MainContent$gvACSpeeds','Pilot$23')" xr:uid="{2D48760A-55D2-4B18-9472-5576D7433472}"/>
    <hyperlink ref="E78" r:id="rId95" display="javascript:__doPostBack('ctl00$MainContent$gvACSpeeds','Plane$23')" xr:uid="{068E6A54-1AE7-49CE-AC4D-6F9F88DEF1FE}"/>
    <hyperlink ref="F78" r:id="rId96" display="javascript:__doPostBack('ctl00$MainContent$gvACSpeeds','Location$23')" xr:uid="{DA4A6EE2-C85B-4BAD-AF14-912F3DBADC16}"/>
    <hyperlink ref="A77" r:id="rId97" display="javascript:__doPostBack('ctl00$MainContent$gvACSpeeds','Date$24')" xr:uid="{72C2A09C-D27B-4DD4-B0D3-DE2921ED41DA}"/>
    <hyperlink ref="B77" r:id="rId98" display="javascript:__doPostBack('ctl00$MainContent$gvACSpeeds','Pilot$24')" xr:uid="{5EE678A0-CE6E-49E9-80A9-E21F8B451462}"/>
    <hyperlink ref="E77" r:id="rId99" display="javascript:__doPostBack('ctl00$MainContent$gvACSpeeds','Plane$24')" xr:uid="{7D5EF7A0-88BC-4066-93C0-6252ACA79A44}"/>
    <hyperlink ref="F77" r:id="rId100" display="javascript:__doPostBack('ctl00$MainContent$gvACSpeeds','Location$24')" xr:uid="{77F3AFD1-9A22-46A4-A200-E9C1C72A461A}"/>
    <hyperlink ref="A76" r:id="rId101" display="javascript:__doPostBack('ctl00$MainContent$gvACSpeeds','Date$25')" xr:uid="{AAFFB8F3-0737-4C70-9D5F-FBAE5BD53895}"/>
    <hyperlink ref="B76" r:id="rId102" display="javascript:__doPostBack('ctl00$MainContent$gvACSpeeds','Pilot$25')" xr:uid="{1CFFD8D0-CD08-4F63-9438-D5D2B517C528}"/>
    <hyperlink ref="E76" r:id="rId103" display="javascript:__doPostBack('ctl00$MainContent$gvACSpeeds','Plane$25')" xr:uid="{A13F0200-3CFA-4D02-ABA6-73A412E735D0}"/>
    <hyperlink ref="F76" r:id="rId104" display="javascript:__doPostBack('ctl00$MainContent$gvACSpeeds','Location$25')" xr:uid="{2CEC7964-87CA-4B8E-99BB-EC27EBEC5E9E}"/>
    <hyperlink ref="A75" r:id="rId105" display="javascript:__doPostBack('ctl00$MainContent$gvACSpeeds','Date$26')" xr:uid="{DAB10721-6A52-4A3D-B58E-7167DCD7B6CB}"/>
    <hyperlink ref="B75" r:id="rId106" display="javascript:__doPostBack('ctl00$MainContent$gvACSpeeds','Pilot$26')" xr:uid="{7FF36F62-71E2-4185-A9B9-F336FB122A1C}"/>
    <hyperlink ref="E75" r:id="rId107" display="javascript:__doPostBack('ctl00$MainContent$gvACSpeeds','Plane$26')" xr:uid="{7ECBEEA6-350B-4F6E-B235-7FDD62B53F11}"/>
    <hyperlink ref="F75" r:id="rId108" display="javascript:__doPostBack('ctl00$MainContent$gvACSpeeds','Location$26')" xr:uid="{4DA9E6DF-AD24-4866-96BB-0250E39D9301}"/>
    <hyperlink ref="A74" r:id="rId109" display="javascript:__doPostBack('ctl00$MainContent$gvACSpeeds','Date$27')" xr:uid="{112D4176-03CE-41FF-BA2B-0E40D4A90D52}"/>
    <hyperlink ref="B74" r:id="rId110" display="javascript:__doPostBack('ctl00$MainContent$gvACSpeeds','Pilot$27')" xr:uid="{496DBCEC-7575-444E-9E11-C4643FF36C66}"/>
    <hyperlink ref="E74" r:id="rId111" display="javascript:__doPostBack('ctl00$MainContent$gvACSpeeds','Plane$27')" xr:uid="{B4EEC180-4D43-46D2-9458-F505C42B51F0}"/>
    <hyperlink ref="F74" r:id="rId112" display="javascript:__doPostBack('ctl00$MainContent$gvACSpeeds','Location$27')" xr:uid="{B4B674BC-1DB7-4C39-9102-31AC4089228A}"/>
    <hyperlink ref="A72" r:id="rId113" display="javascript:__doPostBack('ctl00$MainContent$gvACSpeeds','Date$28')" xr:uid="{2A3E7DFF-88DC-4E30-9734-3732D6E5C5EB}"/>
    <hyperlink ref="B72" r:id="rId114" display="javascript:__doPostBack('ctl00$MainContent$gvACSpeeds','Pilot$28')" xr:uid="{75AC4397-AD54-4068-85C8-782A86398096}"/>
    <hyperlink ref="E72" r:id="rId115" display="javascript:__doPostBack('ctl00$MainContent$gvACSpeeds','Plane$28')" xr:uid="{6340FA06-AB5E-4DD2-A4D1-3088150E9FE1}"/>
    <hyperlink ref="F72" r:id="rId116" display="javascript:__doPostBack('ctl00$MainContent$gvACSpeeds','Location$28')" xr:uid="{7A60A9D9-C8B8-4357-8D4C-8AB5AF21CC24}"/>
    <hyperlink ref="A73" r:id="rId117" display="javascript:__doPostBack('ctl00$MainContent$gvACSpeeds','Date$29')" xr:uid="{6B4A4137-A331-4E30-B3A7-00BC6A4BE4BE}"/>
    <hyperlink ref="B73" r:id="rId118" display="javascript:__doPostBack('ctl00$MainContent$gvACSpeeds','Pilot$29')" xr:uid="{6B9770B7-9F57-400B-832D-4DC40EDD152E}"/>
    <hyperlink ref="E73" r:id="rId119" display="javascript:__doPostBack('ctl00$MainContent$gvACSpeeds','Plane$29')" xr:uid="{A670C8C3-C98D-4399-AFD5-0C084C3628D6}"/>
    <hyperlink ref="F73" r:id="rId120" display="javascript:__doPostBack('ctl00$MainContent$gvACSpeeds','Location$29')" xr:uid="{B8815E9B-7F20-4897-BAC6-06227619FC03}"/>
    <hyperlink ref="A71" r:id="rId121" display="javascript:__doPostBack('ctl00$MainContent$gvACSpeeds','Date$30')" xr:uid="{9771B651-DB39-4F94-A47B-A67933A4F2EF}"/>
    <hyperlink ref="B71" r:id="rId122" display="javascript:__doPostBack('ctl00$MainContent$gvACSpeeds','Pilot$30')" xr:uid="{00EF0B42-64AA-4145-A0E7-D4E28C0C5324}"/>
    <hyperlink ref="E71" r:id="rId123" display="javascript:__doPostBack('ctl00$MainContent$gvACSpeeds','Plane$30')" xr:uid="{D02EA881-009C-42F0-8863-2E5EDD2194F5}"/>
    <hyperlink ref="F71" r:id="rId124" display="javascript:__doPostBack('ctl00$MainContent$gvACSpeeds','Location$30')" xr:uid="{5B489A5B-7206-4B16-9B89-D738C7A8EFC1}"/>
    <hyperlink ref="A70" r:id="rId125" display="javascript:__doPostBack('ctl00$MainContent$gvACSpeeds','Date$31')" xr:uid="{38633AA4-A4B1-4836-8838-1016E5898D0C}"/>
    <hyperlink ref="B70" r:id="rId126" display="javascript:__doPostBack('ctl00$MainContent$gvACSpeeds','Pilot$31')" xr:uid="{B91C4B50-6C6D-485A-AEB9-070984B32D42}"/>
    <hyperlink ref="E70" r:id="rId127" display="javascript:__doPostBack('ctl00$MainContent$gvACSpeeds','Plane$31')" xr:uid="{D1888A53-16FB-4A21-BDF9-D3EA16BBCE85}"/>
    <hyperlink ref="F70" r:id="rId128" display="javascript:__doPostBack('ctl00$MainContent$gvACSpeeds','Location$31')" xr:uid="{9F6D9C71-1964-4436-88C6-7A279F16BE67}"/>
    <hyperlink ref="A69" r:id="rId129" display="javascript:__doPostBack('ctl00$MainContent$gvACSpeeds','Date$32')" xr:uid="{FBDC8E66-F830-4413-B73F-4F87AA39DF97}"/>
    <hyperlink ref="B69" r:id="rId130" display="javascript:__doPostBack('ctl00$MainContent$gvACSpeeds','Pilot$32')" xr:uid="{20B50933-7CF4-49BF-AB77-DDB3F6150E48}"/>
    <hyperlink ref="E69" r:id="rId131" display="javascript:__doPostBack('ctl00$MainContent$gvACSpeeds','Plane$32')" xr:uid="{99F94A30-2FD2-43A2-AED1-0868AFA2BEA4}"/>
    <hyperlink ref="F69" r:id="rId132" display="javascript:__doPostBack('ctl00$MainContent$gvACSpeeds','Location$32')" xr:uid="{25362232-D25D-49C7-9444-1CD790F7FC08}"/>
    <hyperlink ref="A68" r:id="rId133" display="javascript:__doPostBack('ctl00$MainContent$gvACSpeeds','Date$33')" xr:uid="{2F3DC5E3-B76D-4FBA-9B40-F3093E5BA574}"/>
    <hyperlink ref="B68" r:id="rId134" display="javascript:__doPostBack('ctl00$MainContent$gvACSpeeds','Pilot$33')" xr:uid="{CD035C82-223E-4BDD-BD60-C8600985E846}"/>
    <hyperlink ref="E68" r:id="rId135" display="javascript:__doPostBack('ctl00$MainContent$gvACSpeeds','Plane$33')" xr:uid="{E856806F-B48C-49CB-A14E-BBC2D8533144}"/>
    <hyperlink ref="F68" r:id="rId136" display="javascript:__doPostBack('ctl00$MainContent$gvACSpeeds','Location$33')" xr:uid="{E337232A-093A-461C-BA26-B0C69F7D5518}"/>
    <hyperlink ref="A67" r:id="rId137" display="javascript:__doPostBack('ctl00$MainContent$gvACSpeeds','Date$34')" xr:uid="{C1142D21-B05C-48F8-BD4D-35FD791E9A69}"/>
    <hyperlink ref="B67" r:id="rId138" display="javascript:__doPostBack('ctl00$MainContent$gvACSpeeds','Pilot$34')" xr:uid="{8DB2BBB9-BBF9-4C9D-ACCC-AE702E11804C}"/>
    <hyperlink ref="E67" r:id="rId139" display="javascript:__doPostBack('ctl00$MainContent$gvACSpeeds','Plane$34')" xr:uid="{CF1CA934-F09F-4FBF-8FF9-5423A1E07D90}"/>
    <hyperlink ref="F67" r:id="rId140" display="javascript:__doPostBack('ctl00$MainContent$gvACSpeeds','Location$34')" xr:uid="{D89701F7-4A51-497E-BA52-64321E7B2473}"/>
    <hyperlink ref="A66" r:id="rId141" display="javascript:__doPostBack('ctl00$MainContent$gvACSpeeds','Date$35')" xr:uid="{1A465A14-5D02-4262-B62E-FDFA34DBB83C}"/>
    <hyperlink ref="B66" r:id="rId142" display="javascript:__doPostBack('ctl00$MainContent$gvACSpeeds','Pilot$35')" xr:uid="{A4E7A5C5-BF64-482F-9136-EDD2B785EB97}"/>
    <hyperlink ref="E66" r:id="rId143" display="javascript:__doPostBack('ctl00$MainContent$gvACSpeeds','Plane$35')" xr:uid="{4EA9BF20-2022-4066-981A-8174B5245BE4}"/>
    <hyperlink ref="F66" r:id="rId144" display="javascript:__doPostBack('ctl00$MainContent$gvACSpeeds','Location$35')" xr:uid="{BBB73AE9-9F4F-4E91-BFE3-5FE6E929021F}"/>
    <hyperlink ref="A65" r:id="rId145" display="javascript:__doPostBack('ctl00$MainContent$gvACSpeeds','Date$36')" xr:uid="{B054CC4E-A84D-4AFA-9752-AE77A6B7F7E3}"/>
    <hyperlink ref="B65" r:id="rId146" display="javascript:__doPostBack('ctl00$MainContent$gvACSpeeds','Pilot$36')" xr:uid="{663A57A0-28FD-4079-BE4E-E33B7E12CAE8}"/>
    <hyperlink ref="E65" r:id="rId147" display="javascript:__doPostBack('ctl00$MainContent$gvACSpeeds','Plane$36')" xr:uid="{73628853-6221-4204-BF48-A3E2F51EDB25}"/>
    <hyperlink ref="F65" r:id="rId148" display="javascript:__doPostBack('ctl00$MainContent$gvACSpeeds','Location$36')" xr:uid="{201ABDFC-BFEE-494F-8DFD-574E456F2F1F}"/>
    <hyperlink ref="A64" r:id="rId149" display="javascript:__doPostBack('ctl00$MainContent$gvACSpeeds','Date$37')" xr:uid="{D5D5EBBF-89FF-4718-A84A-DA7B44A974CA}"/>
    <hyperlink ref="B64" r:id="rId150" display="javascript:__doPostBack('ctl00$MainContent$gvACSpeeds','Pilot$37')" xr:uid="{6412A8AF-A80A-42E6-B0B4-B7EB1D729736}"/>
    <hyperlink ref="E64" r:id="rId151" display="javascript:__doPostBack('ctl00$MainContent$gvACSpeeds','Plane$37')" xr:uid="{333DC119-EE7B-44B0-9E50-B88AD1059EAC}"/>
    <hyperlink ref="F64" r:id="rId152" display="javascript:__doPostBack('ctl00$MainContent$gvACSpeeds','Location$37')" xr:uid="{17385E52-BBBD-403E-BBDF-013B717E6128}"/>
    <hyperlink ref="A63" r:id="rId153" display="javascript:__doPostBack('ctl00$MainContent$gvACSpeeds','Date$38')" xr:uid="{623955F0-21DA-4C04-9FBA-42F6D724C40E}"/>
    <hyperlink ref="B63" r:id="rId154" display="javascript:__doPostBack('ctl00$MainContent$gvACSpeeds','Pilot$38')" xr:uid="{BFC81819-BDD2-4CA1-8C78-475E58328D7B}"/>
    <hyperlink ref="E63" r:id="rId155" display="javascript:__doPostBack('ctl00$MainContent$gvACSpeeds','Plane$38')" xr:uid="{AE197B9B-EFCF-4E67-A9EF-D951987C48E9}"/>
    <hyperlink ref="F63" r:id="rId156" display="javascript:__doPostBack('ctl00$MainContent$gvACSpeeds','Location$38')" xr:uid="{5F160028-887E-4F96-B449-46BC2293DD17}"/>
    <hyperlink ref="A62" r:id="rId157" display="javascript:__doPostBack('ctl00$MainContent$gvACSpeeds','Date$39')" xr:uid="{8489350A-C23F-4E14-9BF2-F51E09EBA606}"/>
    <hyperlink ref="B62" r:id="rId158" display="javascript:__doPostBack('ctl00$MainContent$gvACSpeeds','Pilot$39')" xr:uid="{C16A1ADC-6457-45A2-A396-ACD60FDAEDD7}"/>
    <hyperlink ref="E62" r:id="rId159" display="javascript:__doPostBack('ctl00$MainContent$gvACSpeeds','Plane$39')" xr:uid="{22D9FA2A-6177-4B0B-98EF-D3A840CF56DB}"/>
    <hyperlink ref="F62" r:id="rId160" display="javascript:__doPostBack('ctl00$MainContent$gvACSpeeds','Location$39')" xr:uid="{4D861737-E4CD-4D37-BE62-F0FD537CA460}"/>
    <hyperlink ref="A61" r:id="rId161" display="javascript:__doPostBack('ctl00$MainContent$gvACSpeeds','Date$40')" xr:uid="{D3F3DCD1-7EE6-4942-8BD7-5805A913EB92}"/>
    <hyperlink ref="B61" r:id="rId162" display="javascript:__doPostBack('ctl00$MainContent$gvACSpeeds','Pilot$40')" xr:uid="{9624A05D-9968-426F-A22C-31C6CF367E3F}"/>
    <hyperlink ref="E61" r:id="rId163" display="javascript:__doPostBack('ctl00$MainContent$gvACSpeeds','Plane$40')" xr:uid="{A6D42883-2F16-4142-BED1-5C44D91614E4}"/>
    <hyperlink ref="F61" r:id="rId164" display="javascript:__doPostBack('ctl00$MainContent$gvACSpeeds','Location$40')" xr:uid="{AA468000-326A-4975-B7E7-5174033CBC87}"/>
    <hyperlink ref="A59" r:id="rId165" display="javascript:__doPostBack('ctl00$MainContent$gvACSpeeds','Date$41')" xr:uid="{17CF777A-73D3-4E86-BADC-C300B57BC2E4}"/>
    <hyperlink ref="B59" r:id="rId166" display="javascript:__doPostBack('ctl00$MainContent$gvACSpeeds','Pilot$41')" xr:uid="{0F0278C2-FCD8-492A-B311-343D5FC846ED}"/>
    <hyperlink ref="E59" r:id="rId167" display="javascript:__doPostBack('ctl00$MainContent$gvACSpeeds','Plane$41')" xr:uid="{FEFF27BC-2E0B-4D30-B427-0A4AA535DA9D}"/>
    <hyperlink ref="F59" r:id="rId168" display="javascript:__doPostBack('ctl00$MainContent$gvACSpeeds','Location$41')" xr:uid="{C9509CAB-B201-4352-934C-8B95BC229846}"/>
    <hyperlink ref="A60" r:id="rId169" display="javascript:__doPostBack('ctl00$MainContent$gvACSpeeds','Date$42')" xr:uid="{C945AA19-6286-49BE-83D1-3EAD490E9D60}"/>
    <hyperlink ref="B60" r:id="rId170" display="javascript:__doPostBack('ctl00$MainContent$gvACSpeeds','Pilot$42')" xr:uid="{700820B0-64DC-4B1E-AC6E-4B372BE7AD84}"/>
    <hyperlink ref="E60" r:id="rId171" display="javascript:__doPostBack('ctl00$MainContent$gvACSpeeds','Plane$42')" xr:uid="{025204DE-A45A-4D4B-9488-8BF59769CB0C}"/>
    <hyperlink ref="F60" r:id="rId172" display="javascript:__doPostBack('ctl00$MainContent$gvACSpeeds','Location$42')" xr:uid="{758C63CC-394C-4649-B124-CEFB98643EB8}"/>
    <hyperlink ref="A58" r:id="rId173" display="javascript:__doPostBack('ctl00$MainContent$gvACSpeeds','Date$43')" xr:uid="{99BC6D7A-CFE5-44B1-B13D-03A5CA229A97}"/>
    <hyperlink ref="B58" r:id="rId174" display="javascript:__doPostBack('ctl00$MainContent$gvACSpeeds','Pilot$43')" xr:uid="{9AA7169A-8FF7-4DB9-904F-55B2BD001C46}"/>
    <hyperlink ref="E58" r:id="rId175" display="javascript:__doPostBack('ctl00$MainContent$gvACSpeeds','Plane$43')" xr:uid="{F6B469B2-8034-4ACA-A08F-CD6484015727}"/>
    <hyperlink ref="F58" r:id="rId176" display="javascript:__doPostBack('ctl00$MainContent$gvACSpeeds','Location$43')" xr:uid="{A50BBB0A-7031-4E83-9F8D-14252EB203C1}"/>
    <hyperlink ref="A57" r:id="rId177" display="javascript:__doPostBack('ctl00$MainContent$gvACSpeeds','Date$44')" xr:uid="{1008CDB4-0ED7-4424-8E58-10C95809512F}"/>
    <hyperlink ref="B57" r:id="rId178" display="javascript:__doPostBack('ctl00$MainContent$gvACSpeeds','Pilot$44')" xr:uid="{F23F36EC-2CDB-4DD5-A984-9A3B783370FB}"/>
    <hyperlink ref="E57" r:id="rId179" display="javascript:__doPostBack('ctl00$MainContent$gvACSpeeds','Plane$44')" xr:uid="{1E9658FF-2A40-4263-8E82-E119AF0A04C7}"/>
    <hyperlink ref="F57" r:id="rId180" display="javascript:__doPostBack('ctl00$MainContent$gvACSpeeds','Location$44')" xr:uid="{97EFF679-D970-46F6-BB09-D4A1C459B70F}"/>
    <hyperlink ref="A56" r:id="rId181" display="javascript:__doPostBack('ctl00$MainContent$gvACSpeeds','Date$45')" xr:uid="{E063AA2F-6B12-4D77-962D-15C2F6BE1F17}"/>
    <hyperlink ref="B56" r:id="rId182" display="javascript:__doPostBack('ctl00$MainContent$gvACSpeeds','Pilot$45')" xr:uid="{56A913F4-6499-4ADA-9034-646F52368E1E}"/>
    <hyperlink ref="E56" r:id="rId183" display="javascript:__doPostBack('ctl00$MainContent$gvACSpeeds','Plane$45')" xr:uid="{004A0847-C510-4B35-BBC8-2CC85C8D7E35}"/>
    <hyperlink ref="F56" r:id="rId184" display="javascript:__doPostBack('ctl00$MainContent$gvACSpeeds','Location$45')" xr:uid="{1D92DA1D-F80D-444C-A20B-4F3B4759F36D}"/>
    <hyperlink ref="A55" r:id="rId185" display="javascript:__doPostBack('ctl00$MainContent$gvACSpeeds','Date$46')" xr:uid="{E46BC7E4-CC36-47CB-B663-2D5DDA048256}"/>
    <hyperlink ref="B55" r:id="rId186" display="javascript:__doPostBack('ctl00$MainContent$gvACSpeeds','Pilot$46')" xr:uid="{1A5965CE-5B9D-441C-9F13-B75D37FFBB98}"/>
    <hyperlink ref="E55" r:id="rId187" display="javascript:__doPostBack('ctl00$MainContent$gvACSpeeds','Plane$46')" xr:uid="{75E4543B-0766-4B3F-9D66-C9280B0F1C80}"/>
    <hyperlink ref="F55" r:id="rId188" display="javascript:__doPostBack('ctl00$MainContent$gvACSpeeds','Location$46')" xr:uid="{ED4CA194-149D-42BD-95FE-AADFCBE0B3FF}"/>
    <hyperlink ref="A54" r:id="rId189" display="javascript:__doPostBack('ctl00$MainContent$gvACSpeeds','Date$47')" xr:uid="{2AAC2576-3ECE-4D42-991A-4860F6E1F47A}"/>
    <hyperlink ref="B54" r:id="rId190" display="javascript:__doPostBack('ctl00$MainContent$gvACSpeeds','Pilot$47')" xr:uid="{8B523211-68D2-4BF6-B84B-0C61E0658A5C}"/>
    <hyperlink ref="E54" r:id="rId191" display="javascript:__doPostBack('ctl00$MainContent$gvACSpeeds','Plane$47')" xr:uid="{FABB057C-7C33-4148-9074-73B1ED53E1E3}"/>
    <hyperlink ref="F54" r:id="rId192" display="javascript:__doPostBack('ctl00$MainContent$gvACSpeeds','Location$47')" xr:uid="{82217DEE-1358-44A3-B127-D746075AC66C}"/>
    <hyperlink ref="A53" r:id="rId193" display="javascript:__doPostBack('ctl00$MainContent$gvACSpeeds','Date$48')" xr:uid="{AAA4D0D9-F0E9-46BA-8BAE-002917CC1F55}"/>
    <hyperlink ref="B53" r:id="rId194" display="javascript:__doPostBack('ctl00$MainContent$gvACSpeeds','Pilot$48')" xr:uid="{83B3EF00-A739-45C6-8950-35BAC0BE8FAC}"/>
    <hyperlink ref="E53" r:id="rId195" display="javascript:__doPostBack('ctl00$MainContent$gvACSpeeds','Plane$48')" xr:uid="{078A952D-E280-4B4F-A45D-0E3CE8B3AA70}"/>
    <hyperlink ref="F53" r:id="rId196" display="javascript:__doPostBack('ctl00$MainContent$gvACSpeeds','Location$48')" xr:uid="{EA1265D0-2250-4574-9BAB-327623B52C52}"/>
    <hyperlink ref="A52" r:id="rId197" display="javascript:__doPostBack('ctl00$MainContent$gvACSpeeds','Date$49')" xr:uid="{7AC5DF43-BFDC-401A-ACD3-EE9EBA3EAABD}"/>
    <hyperlink ref="B52" r:id="rId198" display="javascript:__doPostBack('ctl00$MainContent$gvACSpeeds','Pilot$49')" xr:uid="{9468CF00-ACF6-44DA-AAC8-A8A0196A8106}"/>
    <hyperlink ref="E52" r:id="rId199" display="javascript:__doPostBack('ctl00$MainContent$gvACSpeeds','Plane$49')" xr:uid="{20BB9014-7272-4955-AE31-1E4114419DB5}"/>
    <hyperlink ref="F52" r:id="rId200" display="javascript:__doPostBack('ctl00$MainContent$gvACSpeeds','Location$49')" xr:uid="{74C1AD0D-E4D5-44CD-9A66-911B2123C137}"/>
    <hyperlink ref="A50" r:id="rId201" display="javascript:__doPostBack('ctl00$MainContent$gvACSpeeds','Date$50')" xr:uid="{9EDB742C-B52D-4800-8F90-775E61602599}"/>
    <hyperlink ref="B50" r:id="rId202" display="javascript:__doPostBack('ctl00$MainContent$gvACSpeeds','Pilot$50')" xr:uid="{710F6F36-0CF8-4E80-92A8-7BC272B4C002}"/>
    <hyperlink ref="E50" r:id="rId203" display="javascript:__doPostBack('ctl00$MainContent$gvACSpeeds','Plane$50')" xr:uid="{48C38E3F-53A3-4AF8-B184-C5598E831468}"/>
    <hyperlink ref="F50" r:id="rId204" display="javascript:__doPostBack('ctl00$MainContent$gvACSpeeds','Location$50')" xr:uid="{FA10BAAA-BF09-4270-B60F-5960B526A1C2}"/>
    <hyperlink ref="A51" r:id="rId205" display="javascript:__doPostBack('ctl00$MainContent$gvACSpeeds','Date$51')" xr:uid="{6098D86B-5940-44F8-B1E5-E23F38828BFB}"/>
    <hyperlink ref="B51" r:id="rId206" display="javascript:__doPostBack('ctl00$MainContent$gvACSpeeds','Pilot$51')" xr:uid="{A3B3668B-6953-41BA-ACA0-BAA167237BD6}"/>
    <hyperlink ref="E51" r:id="rId207" display="javascript:__doPostBack('ctl00$MainContent$gvACSpeeds','Plane$51')" xr:uid="{8DF9E5E9-88B4-4497-8A1C-1FBA3F471043}"/>
    <hyperlink ref="F51" r:id="rId208" display="javascript:__doPostBack('ctl00$MainContent$gvACSpeeds','Location$51')" xr:uid="{4038CB71-A6BA-472C-BDC2-111511CE5289}"/>
    <hyperlink ref="A49" r:id="rId209" display="javascript:__doPostBack('ctl00$MainContent$gvACSpeeds','Date$52')" xr:uid="{FC69002D-DC32-4763-A800-B5C1B1B20CA4}"/>
    <hyperlink ref="B49" r:id="rId210" display="javascript:__doPostBack('ctl00$MainContent$gvACSpeeds','Pilot$52')" xr:uid="{86F6E432-035F-4A2B-9F97-CEE51795E15C}"/>
    <hyperlink ref="E49" r:id="rId211" display="javascript:__doPostBack('ctl00$MainContent$gvACSpeeds','Plane$52')" xr:uid="{E76ECA8B-129A-4346-88D5-6FBB4783C0C2}"/>
    <hyperlink ref="F49" r:id="rId212" display="javascript:__doPostBack('ctl00$MainContent$gvACSpeeds','Location$52')" xr:uid="{8E8137A3-4DEF-40C2-ABFA-191361173CF2}"/>
    <hyperlink ref="A48" r:id="rId213" display="javascript:__doPostBack('ctl00$MainContent$gvACSpeeds','Date$53')" xr:uid="{9C35906D-BA5E-46F5-A739-4A0FD35C07F4}"/>
    <hyperlink ref="B48" r:id="rId214" display="javascript:__doPostBack('ctl00$MainContent$gvACSpeeds','Pilot$53')" xr:uid="{566A3FB6-5208-43DA-A62E-3BDAAA840444}"/>
    <hyperlink ref="E48" r:id="rId215" display="javascript:__doPostBack('ctl00$MainContent$gvACSpeeds','Plane$53')" xr:uid="{33E9881A-AA46-4E47-8FF9-F40898339DEC}"/>
    <hyperlink ref="F48" r:id="rId216" display="javascript:__doPostBack('ctl00$MainContent$gvACSpeeds','Location$53')" xr:uid="{BACEE461-30FD-4553-8ED0-A52DB11156A1}"/>
    <hyperlink ref="A47" r:id="rId217" display="javascript:__doPostBack('ctl00$MainContent$gvACSpeeds','Date$54')" xr:uid="{FAC166D0-4C3B-4D24-98FF-C1947CFFC036}"/>
    <hyperlink ref="B47" r:id="rId218" display="javascript:__doPostBack('ctl00$MainContent$gvACSpeeds','Pilot$54')" xr:uid="{955F4A01-CFB7-43A8-9286-38E2EDF62D35}"/>
    <hyperlink ref="E47" r:id="rId219" display="javascript:__doPostBack('ctl00$MainContent$gvACSpeeds','Plane$54')" xr:uid="{055CCF8E-C644-4A1A-AA2A-352286FCF898}"/>
    <hyperlink ref="F47" r:id="rId220" display="javascript:__doPostBack('ctl00$MainContent$gvACSpeeds','Location$54')" xr:uid="{799AC942-3D3B-4CC4-84FA-4BABC2778928}"/>
    <hyperlink ref="A45" r:id="rId221" display="javascript:__doPostBack('ctl00$MainContent$gvACSpeeds','Date$55')" xr:uid="{EF3C26AE-B847-4424-8098-C5A8D864E0A6}"/>
    <hyperlink ref="B45" r:id="rId222" display="javascript:__doPostBack('ctl00$MainContent$gvACSpeeds','Pilot$55')" xr:uid="{521FC4AC-81BA-4546-8BF5-44E5078247E0}"/>
    <hyperlink ref="E45" r:id="rId223" display="javascript:__doPostBack('ctl00$MainContent$gvACSpeeds','Plane$55')" xr:uid="{706B6AD2-95BA-44DD-9C48-F8271C421ADA}"/>
    <hyperlink ref="F45" r:id="rId224" display="javascript:__doPostBack('ctl00$MainContent$gvACSpeeds','Location$55')" xr:uid="{23C97D28-9CD5-4E0A-AAA5-3CE50ED760F4}"/>
    <hyperlink ref="A46" r:id="rId225" display="javascript:__doPostBack('ctl00$MainContent$gvACSpeeds','Date$56')" xr:uid="{980A070E-5BAF-44D7-A742-15AE7931E4A7}"/>
    <hyperlink ref="B46" r:id="rId226" display="javascript:__doPostBack('ctl00$MainContent$gvACSpeeds','Pilot$56')" xr:uid="{A0B82C5C-08CE-4951-8E14-8A77A186E74A}"/>
    <hyperlink ref="E46" r:id="rId227" display="javascript:__doPostBack('ctl00$MainContent$gvACSpeeds','Plane$56')" xr:uid="{9FF37ACB-CDF0-4F53-8870-731BE828AAE6}"/>
    <hyperlink ref="F46" r:id="rId228" display="javascript:__doPostBack('ctl00$MainContent$gvACSpeeds','Location$56')" xr:uid="{BB4119B8-AED4-4977-9F71-3E2BEE8B88BB}"/>
    <hyperlink ref="A44" r:id="rId229" display="javascript:__doPostBack('ctl00$MainContent$gvACSpeeds','Date$57')" xr:uid="{6AE78422-A782-4DE8-93A7-6E161D651F6E}"/>
    <hyperlink ref="B44" r:id="rId230" display="javascript:__doPostBack('ctl00$MainContent$gvACSpeeds','Pilot$57')" xr:uid="{3E81999D-C76D-4EFB-B3DE-886909AEFE8F}"/>
    <hyperlink ref="E44" r:id="rId231" display="javascript:__doPostBack('ctl00$MainContent$gvACSpeeds','Plane$57')" xr:uid="{443DD67D-43F9-4580-8DC3-839B589E6878}"/>
    <hyperlink ref="F44" r:id="rId232" display="javascript:__doPostBack('ctl00$MainContent$gvACSpeeds','Location$57')" xr:uid="{CEF3B4B8-1D8B-421D-8517-A6C7342858AF}"/>
    <hyperlink ref="A43" r:id="rId233" display="javascript:__doPostBack('ctl00$MainContent$gvACSpeeds','Date$58')" xr:uid="{E15F7037-9CD5-4953-861D-BDC00A420F18}"/>
    <hyperlink ref="B43" r:id="rId234" display="javascript:__doPostBack('ctl00$MainContent$gvACSpeeds','Pilot$58')" xr:uid="{370BF581-0181-4CB7-838F-5BDF15B04A4A}"/>
    <hyperlink ref="E43" r:id="rId235" display="javascript:__doPostBack('ctl00$MainContent$gvACSpeeds','Plane$58')" xr:uid="{A36A433E-64BE-4B31-986B-8904B18DA71D}"/>
    <hyperlink ref="F43" r:id="rId236" display="javascript:__doPostBack('ctl00$MainContent$gvACSpeeds','Location$58')" xr:uid="{8E5E0899-F168-49C0-AF45-F0566B7291B1}"/>
    <hyperlink ref="A42" r:id="rId237" display="javascript:__doPostBack('ctl00$MainContent$gvACSpeeds','Date$59')" xr:uid="{72C3D1E0-774C-43D3-A93A-BF5E0C790C0A}"/>
    <hyperlink ref="B42" r:id="rId238" display="javascript:__doPostBack('ctl00$MainContent$gvACSpeeds','Pilot$59')" xr:uid="{F4FFF2C5-3CD0-481E-9E73-7158DB0969A7}"/>
    <hyperlink ref="E42" r:id="rId239" display="javascript:__doPostBack('ctl00$MainContent$gvACSpeeds','Plane$59')" xr:uid="{0AD8AD7E-3ED0-43A0-9AC4-B609A1A47398}"/>
    <hyperlink ref="F42" r:id="rId240" display="javascript:__doPostBack('ctl00$MainContent$gvACSpeeds','Location$59')" xr:uid="{AA774240-89FB-412E-98D3-1DB2BF6C78D4}"/>
    <hyperlink ref="A41" r:id="rId241" display="javascript:__doPostBack('ctl00$MainContent$gvACSpeeds','Date$60')" xr:uid="{4F0D109B-1972-4C8C-86A3-A23D9EA7CC09}"/>
    <hyperlink ref="B41" r:id="rId242" display="javascript:__doPostBack('ctl00$MainContent$gvACSpeeds','Pilot$60')" xr:uid="{95EB2C20-9703-40D5-8037-AC559526E0F5}"/>
    <hyperlink ref="E41" r:id="rId243" display="javascript:__doPostBack('ctl00$MainContent$gvACSpeeds','Plane$60')" xr:uid="{7FA5244C-A456-4B93-BEE0-4B096A5B08BD}"/>
    <hyperlink ref="F41" r:id="rId244" display="javascript:__doPostBack('ctl00$MainContent$gvACSpeeds','Location$60')" xr:uid="{275D953A-CF2F-4339-BE89-E1680522C601}"/>
    <hyperlink ref="A39" r:id="rId245" display="javascript:__doPostBack('ctl00$MainContent$gvACSpeeds','Date$61')" xr:uid="{4C4B6D97-EDA0-43B3-8CFE-C2435AAB9A48}"/>
    <hyperlink ref="B39" r:id="rId246" display="javascript:__doPostBack('ctl00$MainContent$gvACSpeeds','Pilot$61')" xr:uid="{68F9F60F-B89A-4C59-BD81-1D2D6BD0A897}"/>
    <hyperlink ref="E39" r:id="rId247" display="javascript:__doPostBack('ctl00$MainContent$gvACSpeeds','Plane$61')" xr:uid="{9D5BDDB5-97BB-443E-B9A1-77459803225E}"/>
    <hyperlink ref="F39" r:id="rId248" display="javascript:__doPostBack('ctl00$MainContent$gvACSpeeds','Location$61')" xr:uid="{DD67CCB0-DA8E-4E06-AB74-D98B16F028CD}"/>
    <hyperlink ref="A40" r:id="rId249" display="javascript:__doPostBack('ctl00$MainContent$gvACSpeeds','Date$62')" xr:uid="{03E03226-1CE0-4E84-A4B3-21670673B857}"/>
    <hyperlink ref="B40" r:id="rId250" display="javascript:__doPostBack('ctl00$MainContent$gvACSpeeds','Pilot$62')" xr:uid="{F5379622-721B-4914-98F7-97B789E4AA72}"/>
    <hyperlink ref="E40" r:id="rId251" display="javascript:__doPostBack('ctl00$MainContent$gvACSpeeds','Plane$62')" xr:uid="{E263961D-5F2B-45BE-9577-4951148E6F86}"/>
    <hyperlink ref="F40" r:id="rId252" display="javascript:__doPostBack('ctl00$MainContent$gvACSpeeds','Location$62')" xr:uid="{3C58C77E-A511-4E14-B18C-5538C4F24719}"/>
    <hyperlink ref="A36" r:id="rId253" display="javascript:__doPostBack('ctl00$MainContent$gvACSpeeds','Date$63')" xr:uid="{052643CB-5BD1-40CF-A0FA-FB8A7B90FDA7}"/>
    <hyperlink ref="B36" r:id="rId254" display="javascript:__doPostBack('ctl00$MainContent$gvACSpeeds','Pilot$63')" xr:uid="{26844590-2A5F-4E7B-A3EA-70BA114894C8}"/>
    <hyperlink ref="E36" r:id="rId255" display="javascript:__doPostBack('ctl00$MainContent$gvACSpeeds','Plane$63')" xr:uid="{D58C6439-3EE2-4570-95B6-DE3EA82D63F9}"/>
    <hyperlink ref="F36" r:id="rId256" display="javascript:__doPostBack('ctl00$MainContent$gvACSpeeds','Location$63')" xr:uid="{3A589D08-055C-45A0-8712-22AD5BC4A8DC}"/>
    <hyperlink ref="A37" r:id="rId257" display="javascript:__doPostBack('ctl00$MainContent$gvACSpeeds','Date$64')" xr:uid="{4CACFA9A-67CE-48EB-B2EF-63910D9CCDAD}"/>
    <hyperlink ref="B37" r:id="rId258" display="javascript:__doPostBack('ctl00$MainContent$gvACSpeeds','Pilot$64')" xr:uid="{9E32F091-C0D4-4CA7-9FB8-0ABE35970A71}"/>
    <hyperlink ref="E37" r:id="rId259" display="javascript:__doPostBack('ctl00$MainContent$gvACSpeeds','Plane$64')" xr:uid="{40037157-F100-495D-98A1-49054F4D8ABD}"/>
    <hyperlink ref="F37" r:id="rId260" display="javascript:__doPostBack('ctl00$MainContent$gvACSpeeds','Location$64')" xr:uid="{C73BC9F3-838C-44F6-84E7-F11FE4D42662}"/>
    <hyperlink ref="A38" r:id="rId261" display="javascript:__doPostBack('ctl00$MainContent$gvACSpeeds','Date$65')" xr:uid="{07D86FE1-8DF5-4381-BC3D-4B8133B0E86B}"/>
    <hyperlink ref="B38" r:id="rId262" display="javascript:__doPostBack('ctl00$MainContent$gvACSpeeds','Pilot$65')" xr:uid="{9AFDBD71-DA38-48C7-B50E-7FF68EAE6B39}"/>
    <hyperlink ref="E38" r:id="rId263" display="javascript:__doPostBack('ctl00$MainContent$gvACSpeeds','Plane$65')" xr:uid="{3AF5065E-61C0-46AC-9418-90E6102210B4}"/>
    <hyperlink ref="F38" r:id="rId264" display="javascript:__doPostBack('ctl00$MainContent$gvACSpeeds','Location$65')" xr:uid="{D428ABD6-C1A7-4C92-871E-DF5428D2A138}"/>
    <hyperlink ref="A35" r:id="rId265" display="javascript:__doPostBack('ctl00$MainContent$gvACSpeeds','Date$66')" xr:uid="{27BCD982-6EAE-47D8-B313-99CEB92A91E0}"/>
    <hyperlink ref="B35" r:id="rId266" display="javascript:__doPostBack('ctl00$MainContent$gvACSpeeds','Pilot$66')" xr:uid="{65CA6C7C-936D-4184-8D7A-964F116232F4}"/>
    <hyperlink ref="E35" r:id="rId267" display="javascript:__doPostBack('ctl00$MainContent$gvACSpeeds','Plane$66')" xr:uid="{7F1D8AA3-C6A6-4664-AB0F-D57C5E59807B}"/>
    <hyperlink ref="F35" r:id="rId268" display="javascript:__doPostBack('ctl00$MainContent$gvACSpeeds','Location$66')" xr:uid="{81DB2FA1-C4FD-4219-9AF9-89528A687C5F}"/>
    <hyperlink ref="A34" r:id="rId269" display="javascript:__doPostBack('ctl00$MainContent$gvACSpeeds','Date$67')" xr:uid="{82CEBDBC-6926-4A77-8D0E-6E9B35FD44FE}"/>
    <hyperlink ref="B34" r:id="rId270" display="javascript:__doPostBack('ctl00$MainContent$gvACSpeeds','Pilot$67')" xr:uid="{9CE9576F-6D18-4F28-93B5-BE4F2C18210E}"/>
    <hyperlink ref="E34" r:id="rId271" display="javascript:__doPostBack('ctl00$MainContent$gvACSpeeds','Plane$67')" xr:uid="{C62E3FCD-3078-4C38-9963-4E08A63FC6D1}"/>
    <hyperlink ref="F34" r:id="rId272" display="javascript:__doPostBack('ctl00$MainContent$gvACSpeeds','Location$67')" xr:uid="{332AE4BE-65B5-4EF2-99E3-78B1B7652414}"/>
    <hyperlink ref="A33" r:id="rId273" display="javascript:__doPostBack('ctl00$MainContent$gvACSpeeds','Date$68')" xr:uid="{C77223D8-818E-4FDC-B7DE-E4101FCB29CF}"/>
    <hyperlink ref="B33" r:id="rId274" display="javascript:__doPostBack('ctl00$MainContent$gvACSpeeds','Pilot$68')" xr:uid="{27A2E91E-6820-4C4B-8E38-1662B3DF333B}"/>
    <hyperlink ref="E33" r:id="rId275" display="javascript:__doPostBack('ctl00$MainContent$gvACSpeeds','Plane$68')" xr:uid="{079346DE-7BD2-44D6-950F-502DE1331046}"/>
    <hyperlink ref="F33" r:id="rId276" display="javascript:__doPostBack('ctl00$MainContent$gvACSpeeds','Location$68')" xr:uid="{9421A415-9DA6-45DE-A3BD-BAA74B779D5D}"/>
    <hyperlink ref="A32" r:id="rId277" display="javascript:__doPostBack('ctl00$MainContent$gvACSpeeds','Date$69')" xr:uid="{6ED80E31-8C1E-4234-9115-EFB4C24F326D}"/>
    <hyperlink ref="B32" r:id="rId278" display="javascript:__doPostBack('ctl00$MainContent$gvACSpeeds','Pilot$69')" xr:uid="{9B88BBD0-0404-4A33-9667-BCC346977984}"/>
    <hyperlink ref="E32" r:id="rId279" display="javascript:__doPostBack('ctl00$MainContent$gvACSpeeds','Plane$69')" xr:uid="{9437F94C-5BD3-4EFA-8CE1-238013A3FD79}"/>
    <hyperlink ref="F32" r:id="rId280" display="javascript:__doPostBack('ctl00$MainContent$gvACSpeeds','Location$69')" xr:uid="{B63959AB-6F96-4416-84AD-C02B68D8BF0F}"/>
    <hyperlink ref="A31" r:id="rId281" display="javascript:__doPostBack('ctl00$MainContent$gvACSpeeds','Date$70')" xr:uid="{040C4940-7C5F-4A07-87A6-EB387217BA19}"/>
    <hyperlink ref="B31" r:id="rId282" display="javascript:__doPostBack('ctl00$MainContent$gvACSpeeds','Pilot$70')" xr:uid="{CDDE462E-BC36-4A1F-A0FC-F25FF975928C}"/>
    <hyperlink ref="E31" r:id="rId283" display="javascript:__doPostBack('ctl00$MainContent$gvACSpeeds','Plane$70')" xr:uid="{45CBC255-E89F-48A2-848C-2D2299685F82}"/>
    <hyperlink ref="F31" r:id="rId284" display="javascript:__doPostBack('ctl00$MainContent$gvACSpeeds','Location$70')" xr:uid="{D5CE8DCB-8881-49DF-9EA5-D42AA09111F1}"/>
    <hyperlink ref="A27" r:id="rId285" display="javascript:__doPostBack('ctl00$MainContent$gvACSpeeds','Date$71')" xr:uid="{B413AFDB-258D-4FBF-A005-A6BB77464A3E}"/>
    <hyperlink ref="B27" r:id="rId286" display="javascript:__doPostBack('ctl00$MainContent$gvACSpeeds','Pilot$71')" xr:uid="{FAA25D86-0AFA-4ABE-9C1C-2F2CBAEDC55C}"/>
    <hyperlink ref="E27" r:id="rId287" display="javascript:__doPostBack('ctl00$MainContent$gvACSpeeds','Plane$71')" xr:uid="{7311B433-7166-4815-8095-70E2F377490E}"/>
    <hyperlink ref="F27" r:id="rId288" display="javascript:__doPostBack('ctl00$MainContent$gvACSpeeds','Location$71')" xr:uid="{8328B3B1-AF23-453D-BC4F-1836DE6C999E}"/>
    <hyperlink ref="A28" r:id="rId289" display="javascript:__doPostBack('ctl00$MainContent$gvACSpeeds','Date$72')" xr:uid="{BFF0256F-3E1A-4153-93EF-B27A8C70A930}"/>
    <hyperlink ref="B28" r:id="rId290" display="javascript:__doPostBack('ctl00$MainContent$gvACSpeeds','Pilot$72')" xr:uid="{52132984-B471-41FB-8891-7E5B58C07367}"/>
    <hyperlink ref="E28" r:id="rId291" display="javascript:__doPostBack('ctl00$MainContent$gvACSpeeds','Plane$72')" xr:uid="{56442F7C-4196-4FF2-B2CB-0396F30697FE}"/>
    <hyperlink ref="F28" r:id="rId292" display="javascript:__doPostBack('ctl00$MainContent$gvACSpeeds','Location$72')" xr:uid="{DE248E16-FF6C-4979-9CEA-EF5F80E771FA}"/>
    <hyperlink ref="A30" r:id="rId293" display="javascript:__doPostBack('ctl00$MainContent$gvACSpeeds','Date$73')" xr:uid="{B9838B58-CEEC-4439-9C00-042F2A33698C}"/>
    <hyperlink ref="B30" r:id="rId294" display="javascript:__doPostBack('ctl00$MainContent$gvACSpeeds','Pilot$73')" xr:uid="{D312D894-0ACA-47AB-8F3C-8C86689E9987}"/>
    <hyperlink ref="E30" r:id="rId295" display="javascript:__doPostBack('ctl00$MainContent$gvACSpeeds','Plane$73')" xr:uid="{FBE7DCFA-1452-4C98-AF56-923CF3CB4AD6}"/>
    <hyperlink ref="F30" r:id="rId296" display="javascript:__doPostBack('ctl00$MainContent$gvACSpeeds','Location$73')" xr:uid="{0E6C7617-A450-4D21-AE51-8240CD8AAE95}"/>
    <hyperlink ref="A29" r:id="rId297" display="javascript:__doPostBack('ctl00$MainContent$gvACSpeeds','Date$74')" xr:uid="{DAF9362E-6E5D-4D62-8D27-C185F5339434}"/>
    <hyperlink ref="B29" r:id="rId298" display="javascript:__doPostBack('ctl00$MainContent$gvACSpeeds','Pilot$74')" xr:uid="{1D70A317-77B8-4935-8E90-8D8497DE8BC2}"/>
    <hyperlink ref="E29" r:id="rId299" display="javascript:__doPostBack('ctl00$MainContent$gvACSpeeds','Plane$74')" xr:uid="{B099597C-3789-403E-B2AD-09E099E20048}"/>
    <hyperlink ref="F29" r:id="rId300" display="javascript:__doPostBack('ctl00$MainContent$gvACSpeeds','Location$74')" xr:uid="{CCA340AA-898A-4840-B539-0594CFEC0527}"/>
    <hyperlink ref="A25" r:id="rId301" display="javascript:__doPostBack('ctl00$MainContent$gvACSpeeds','Date$75')" xr:uid="{3E5A64FE-99FE-455D-BF51-B462A02AB17B}"/>
    <hyperlink ref="B25" r:id="rId302" display="javascript:__doPostBack('ctl00$MainContent$gvACSpeeds','Pilot$75')" xr:uid="{0A95F69A-B619-4CCE-88BF-E39E1D0D440D}"/>
    <hyperlink ref="E25" r:id="rId303" display="javascript:__doPostBack('ctl00$MainContent$gvACSpeeds','Plane$75')" xr:uid="{0C80488A-B4DD-4A1D-AE1F-44E81152D71E}"/>
    <hyperlink ref="F25" r:id="rId304" display="javascript:__doPostBack('ctl00$MainContent$gvACSpeeds','Location$75')" xr:uid="{8AA627A8-820C-4399-98CE-3AFCF04FB65A}"/>
    <hyperlink ref="A26" r:id="rId305" display="javascript:__doPostBack('ctl00$MainContent$gvACSpeeds','Date$76')" xr:uid="{0DEBF5F6-1115-47AF-93CC-9048FB569C3E}"/>
    <hyperlink ref="B26" r:id="rId306" display="javascript:__doPostBack('ctl00$MainContent$gvACSpeeds','Pilot$76')" xr:uid="{9A2FCD0B-5634-4D31-AE9A-61FECA90C928}"/>
    <hyperlink ref="E26" r:id="rId307" display="javascript:__doPostBack('ctl00$MainContent$gvACSpeeds','Plane$76')" xr:uid="{3F8E19D9-D8CA-4B08-8478-0E7851CC76E9}"/>
    <hyperlink ref="F26" r:id="rId308" display="javascript:__doPostBack('ctl00$MainContent$gvACSpeeds','Location$76')" xr:uid="{85658BAA-5A21-4E62-BD30-C114D5EB923B}"/>
    <hyperlink ref="A24" r:id="rId309" display="javascript:__doPostBack('ctl00$MainContent$gvACSpeeds','Date$77')" xr:uid="{6455ADE9-AB87-4870-8ABE-4CF77F0EED54}"/>
    <hyperlink ref="B24" r:id="rId310" display="javascript:__doPostBack('ctl00$MainContent$gvACSpeeds','Pilot$77')" xr:uid="{BA7C644D-2FCC-4AF3-8F5B-E473DB8F5B6D}"/>
    <hyperlink ref="E24" r:id="rId311" display="javascript:__doPostBack('ctl00$MainContent$gvACSpeeds','Plane$77')" xr:uid="{245C2676-9D2F-4DC0-B80E-18C8C2EA9B80}"/>
    <hyperlink ref="F24" r:id="rId312" display="javascript:__doPostBack('ctl00$MainContent$gvACSpeeds','Location$77')" xr:uid="{23C9FD93-924A-4D7C-A98B-928119EAE00A}"/>
    <hyperlink ref="A22" r:id="rId313" display="javascript:__doPostBack('ctl00$MainContent$gvACSpeeds','Date$78')" xr:uid="{DF6C4809-0895-49BB-93F6-851674E6C911}"/>
    <hyperlink ref="B22" r:id="rId314" display="javascript:__doPostBack('ctl00$MainContent$gvACSpeeds','Pilot$78')" xr:uid="{60F5B0EF-43DA-4B56-9885-70CE456EE6EF}"/>
    <hyperlink ref="E22" r:id="rId315" display="javascript:__doPostBack('ctl00$MainContent$gvACSpeeds','Plane$78')" xr:uid="{4483C6EE-4805-49A2-A735-60FF404355F6}"/>
    <hyperlink ref="F22" r:id="rId316" display="javascript:__doPostBack('ctl00$MainContent$gvACSpeeds','Location$78')" xr:uid="{2BAF4AA3-C324-4795-B420-386BE79928FA}"/>
    <hyperlink ref="A23" r:id="rId317" display="javascript:__doPostBack('ctl00$MainContent$gvACSpeeds','Date$79')" xr:uid="{A1AEB25E-5CCA-4DF5-AD5B-9DC84F2044E9}"/>
    <hyperlink ref="B23" r:id="rId318" display="javascript:__doPostBack('ctl00$MainContent$gvACSpeeds','Pilot$79')" xr:uid="{D3324C41-78EE-4524-A559-8D37DA0ED3F6}"/>
    <hyperlink ref="E23" r:id="rId319" display="javascript:__doPostBack('ctl00$MainContent$gvACSpeeds','Plane$79')" xr:uid="{9E2541E9-1F2B-4173-B97A-795EC4345436}"/>
    <hyperlink ref="F23" r:id="rId320" display="javascript:__doPostBack('ctl00$MainContent$gvACSpeeds','Location$79')" xr:uid="{B07EAD24-4807-4425-A969-15485944AF0D}"/>
    <hyperlink ref="A21" r:id="rId321" display="javascript:__doPostBack('ctl00$MainContent$gvACSpeeds','Date$80')" xr:uid="{B44A80EE-C6A6-4FB4-B880-A3E75EB84014}"/>
    <hyperlink ref="B21" r:id="rId322" display="javascript:__doPostBack('ctl00$MainContent$gvACSpeeds','Pilot$80')" xr:uid="{A6F351BA-B98D-4F5A-B7E6-957B93183194}"/>
    <hyperlink ref="E21" r:id="rId323" display="javascript:__doPostBack('ctl00$MainContent$gvACSpeeds','Plane$80')" xr:uid="{2AEA8803-5C0C-440B-ADEF-8E03D77BF009}"/>
    <hyperlink ref="F21" r:id="rId324" display="javascript:__doPostBack('ctl00$MainContent$gvACSpeeds','Location$80')" xr:uid="{A78AA818-50F5-42A9-B62B-EADDC3F334B8}"/>
    <hyperlink ref="A19" r:id="rId325" display="javascript:__doPostBack('ctl00$MainContent$gvACSpeeds','Date$81')" xr:uid="{66AC341B-E300-4C22-A87A-3A31B62E9447}"/>
    <hyperlink ref="B19" r:id="rId326" display="javascript:__doPostBack('ctl00$MainContent$gvACSpeeds','Pilot$81')" xr:uid="{EE712922-D39A-437D-8E54-7B86FC6B8557}"/>
    <hyperlink ref="E19" r:id="rId327" display="javascript:__doPostBack('ctl00$MainContent$gvACSpeeds','Plane$81')" xr:uid="{820FFB5C-3EB5-44A2-8311-8DF24F9B4100}"/>
    <hyperlink ref="F19" r:id="rId328" display="javascript:__doPostBack('ctl00$MainContent$gvACSpeeds','Location$81')" xr:uid="{25ADACE0-8810-48BC-AEF5-15AD47031937}"/>
    <hyperlink ref="A20" r:id="rId329" display="javascript:__doPostBack('ctl00$MainContent$gvACSpeeds','Date$82')" xr:uid="{A61C0800-4312-4A8C-A2FC-917820CB5573}"/>
    <hyperlink ref="B20" r:id="rId330" display="javascript:__doPostBack('ctl00$MainContent$gvACSpeeds','Pilot$82')" xr:uid="{539C4429-DBCF-429F-B9AE-870DE640131C}"/>
    <hyperlink ref="E20" r:id="rId331" display="javascript:__doPostBack('ctl00$MainContent$gvACSpeeds','Plane$82')" xr:uid="{4527EE0B-CDAF-413E-B7DE-8C0F4B8EF058}"/>
    <hyperlink ref="F20" r:id="rId332" display="javascript:__doPostBack('ctl00$MainContent$gvACSpeeds','Location$82')" xr:uid="{C2F5DBD7-459A-42F7-A781-FC9A14A683E0}"/>
    <hyperlink ref="A18" r:id="rId333" display="javascript:__doPostBack('ctl00$MainContent$gvACSpeeds','Date$83')" xr:uid="{499975E7-F4A3-436E-AAE1-A77E73A11DB1}"/>
    <hyperlink ref="B18" r:id="rId334" display="javascript:__doPostBack('ctl00$MainContent$gvACSpeeds','Pilot$83')" xr:uid="{817D4E7F-E4DB-43B6-8316-715220FF2A17}"/>
    <hyperlink ref="E18" r:id="rId335" display="javascript:__doPostBack('ctl00$MainContent$gvACSpeeds','Plane$83')" xr:uid="{86309A2C-C902-484C-8B71-0DD9BF5495AA}"/>
    <hyperlink ref="F18" r:id="rId336" display="javascript:__doPostBack('ctl00$MainContent$gvACSpeeds','Location$83')" xr:uid="{F1147F88-EBE0-4028-B9BE-811D79081D22}"/>
    <hyperlink ref="A17" r:id="rId337" display="javascript:__doPostBack('ctl00$MainContent$gvACSpeeds','Date$84')" xr:uid="{E7827C71-0557-4F0D-94BB-2010E08BE4FA}"/>
    <hyperlink ref="B17" r:id="rId338" display="javascript:__doPostBack('ctl00$MainContent$gvACSpeeds','Pilot$84')" xr:uid="{C3199D28-F138-48C7-85B5-BE7D847258FF}"/>
    <hyperlink ref="E17" r:id="rId339" display="javascript:__doPostBack('ctl00$MainContent$gvACSpeeds','Plane$84')" xr:uid="{F97EAE4C-B8B5-4515-AF54-D98E31AAABB9}"/>
    <hyperlink ref="F17" r:id="rId340" display="javascript:__doPostBack('ctl00$MainContent$gvACSpeeds','Location$84')" xr:uid="{AE52D6CF-0B06-400D-9635-20BCA7DFD9B3}"/>
    <hyperlink ref="A15" r:id="rId341" display="javascript:__doPostBack('ctl00$MainContent$gvACSpeeds','Date$85')" xr:uid="{A27C759A-9E50-4B4B-97C8-F71000C1A19B}"/>
    <hyperlink ref="B15" r:id="rId342" display="javascript:__doPostBack('ctl00$MainContent$gvACSpeeds','Pilot$85')" xr:uid="{3B578B1D-AED0-4D11-A57C-48226A65B6BE}"/>
    <hyperlink ref="E15" r:id="rId343" display="javascript:__doPostBack('ctl00$MainContent$gvACSpeeds','Plane$85')" xr:uid="{9DDA3809-A6F6-441D-8C6B-FAD62AB9FD02}"/>
    <hyperlink ref="F15" r:id="rId344" display="javascript:__doPostBack('ctl00$MainContent$gvACSpeeds','Location$85')" xr:uid="{215A9F40-1E11-4932-B500-2CC292647458}"/>
    <hyperlink ref="A16" r:id="rId345" display="javascript:__doPostBack('ctl00$MainContent$gvACSpeeds','Date$86')" xr:uid="{5CB8151C-407D-43E3-A797-991335D4EC22}"/>
    <hyperlink ref="B16" r:id="rId346" display="javascript:__doPostBack('ctl00$MainContent$gvACSpeeds','Pilot$86')" xr:uid="{78050798-645B-49A3-A284-CC6ECB406311}"/>
    <hyperlink ref="E16" r:id="rId347" display="javascript:__doPostBack('ctl00$MainContent$gvACSpeeds','Plane$86')" xr:uid="{9FE87DC9-5495-4E06-9129-0C01A6CE9352}"/>
    <hyperlink ref="F16" r:id="rId348" display="javascript:__doPostBack('ctl00$MainContent$gvACSpeeds','Location$86')" xr:uid="{0EE9765F-005F-4F8A-AFED-05FE10226C94}"/>
    <hyperlink ref="A14" r:id="rId349" display="javascript:__doPostBack('ctl00$MainContent$gvACSpeeds','Date$87')" xr:uid="{B80915A4-605A-4770-B34D-9CB86CFE6F87}"/>
    <hyperlink ref="B14" r:id="rId350" display="javascript:__doPostBack('ctl00$MainContent$gvACSpeeds','Pilot$87')" xr:uid="{14210CBE-9390-41F9-B4BA-EDC8868DCA31}"/>
    <hyperlink ref="E14" r:id="rId351" display="javascript:__doPostBack('ctl00$MainContent$gvACSpeeds','Plane$87')" xr:uid="{6F9B8ACA-BEFD-43DC-9DA7-DD075C9A37EC}"/>
    <hyperlink ref="F14" r:id="rId352" display="javascript:__doPostBack('ctl00$MainContent$gvACSpeeds','Location$87')" xr:uid="{B0E6CACC-6C2A-4425-8C0E-D84542C05D35}"/>
    <hyperlink ref="A12" r:id="rId353" display="javascript:__doPostBack('ctl00$MainContent$gvACSpeeds','Date$88')" xr:uid="{8149132A-4980-4F3E-8840-6E0513E8A91B}"/>
    <hyperlink ref="B12" r:id="rId354" display="javascript:__doPostBack('ctl00$MainContent$gvACSpeeds','Pilot$88')" xr:uid="{FB3A7BB6-72F0-4537-B1AF-C771AEF9C84B}"/>
    <hyperlink ref="E12" r:id="rId355" display="javascript:__doPostBack('ctl00$MainContent$gvACSpeeds','Plane$88')" xr:uid="{83ACCEB4-61AF-4ED4-92D9-21F3A2E6F5A0}"/>
    <hyperlink ref="F12" r:id="rId356" display="javascript:__doPostBack('ctl00$MainContent$gvACSpeeds','Location$88')" xr:uid="{EA356EB0-0166-456F-BC96-8630FB9BB623}"/>
    <hyperlink ref="A13" r:id="rId357" display="javascript:__doPostBack('ctl00$MainContent$gvACSpeeds','Date$89')" xr:uid="{C5E723C4-3F77-41B2-B30C-FAFC7AE9981E}"/>
    <hyperlink ref="B13" r:id="rId358" display="javascript:__doPostBack('ctl00$MainContent$gvACSpeeds','Pilot$89')" xr:uid="{BC0C9B0E-7318-46A8-AC85-BEC490445CA1}"/>
    <hyperlink ref="E13" r:id="rId359" display="javascript:__doPostBack('ctl00$MainContent$gvACSpeeds','Plane$89')" xr:uid="{2E87846A-0C39-4344-9090-4DF739BFFAE5}"/>
    <hyperlink ref="F13" r:id="rId360" display="javascript:__doPostBack('ctl00$MainContent$gvACSpeeds','Location$89')" xr:uid="{666F8900-2249-4261-ACD7-B5E546E4242D}"/>
    <hyperlink ref="A11" r:id="rId361" display="javascript:__doPostBack('ctl00$MainContent$gvACSpeeds','Date$90')" xr:uid="{1DEA7275-D3F7-48D9-9C61-E7E16AE4CA8A}"/>
    <hyperlink ref="B11" r:id="rId362" display="javascript:__doPostBack('ctl00$MainContent$gvACSpeeds','Pilot$90')" xr:uid="{90493D7F-75B1-482C-9410-AB4EC8E6B0F0}"/>
    <hyperlink ref="E11" r:id="rId363" display="javascript:__doPostBack('ctl00$MainContent$gvACSpeeds','Plane$90')" xr:uid="{CBB4BD1F-8A5D-4543-902F-6CE47C914BD1}"/>
    <hyperlink ref="F11" r:id="rId364" display="javascript:__doPostBack('ctl00$MainContent$gvACSpeeds','Location$90')" xr:uid="{F0B6E9E9-2E2E-4E38-ABAE-C1E12C8D8993}"/>
    <hyperlink ref="A10" r:id="rId365" display="javascript:__doPostBack('ctl00$MainContent$gvACSpeeds','Date$91')" xr:uid="{A2B2C8B6-0700-4E8A-825A-649B4DE1C6E7}"/>
    <hyperlink ref="B10" r:id="rId366" display="javascript:__doPostBack('ctl00$MainContent$gvACSpeeds','Pilot$91')" xr:uid="{55A8D1CD-BAE8-4E6A-87AC-46762B012B33}"/>
    <hyperlink ref="E10" r:id="rId367" display="javascript:__doPostBack('ctl00$MainContent$gvACSpeeds','Plane$91')" xr:uid="{BE1C2F7B-6B0E-408F-8AB6-B9A3FBF32282}"/>
    <hyperlink ref="F10" r:id="rId368" display="javascript:__doPostBack('ctl00$MainContent$gvACSpeeds','Location$91')" xr:uid="{5BBA08CD-7744-451E-8B78-4395842E31EE}"/>
    <hyperlink ref="A9" r:id="rId369" display="javascript:__doPostBack('ctl00$MainContent$gvACSpeeds','Date$92')" xr:uid="{088C25A9-E5C1-45FA-B46A-4072B14B6A86}"/>
    <hyperlink ref="B9" r:id="rId370" display="javascript:__doPostBack('ctl00$MainContent$gvACSpeeds','Pilot$92')" xr:uid="{FAC2FD76-DFF1-4D4A-8490-B082A7B240F6}"/>
    <hyperlink ref="E9" r:id="rId371" display="javascript:__doPostBack('ctl00$MainContent$gvACSpeeds','Plane$92')" xr:uid="{EC3B6C88-396F-4BE9-BBB7-1E04E86B4504}"/>
    <hyperlink ref="F9" r:id="rId372" display="javascript:__doPostBack('ctl00$MainContent$gvACSpeeds','Location$92')" xr:uid="{0452FE60-3CB7-461F-B897-38C92D7CC615}"/>
    <hyperlink ref="A7" r:id="rId373" display="javascript:__doPostBack('ctl00$MainContent$gvACSpeeds','Date$93')" xr:uid="{B1045550-1ACF-4041-AFCD-357BD45F06DC}"/>
    <hyperlink ref="B7" r:id="rId374" display="javascript:__doPostBack('ctl00$MainContent$gvACSpeeds','Pilot$93')" xr:uid="{D3091D9F-49CA-476E-B6B8-5FD26569A8F0}"/>
    <hyperlink ref="E7" r:id="rId375" display="javascript:__doPostBack('ctl00$MainContent$gvACSpeeds','Plane$93')" xr:uid="{2E6D1661-1E6A-474F-86AC-96F9141EA081}"/>
    <hyperlink ref="F7" r:id="rId376" display="javascript:__doPostBack('ctl00$MainContent$gvACSpeeds','Location$93')" xr:uid="{C0236727-30D2-471F-94F3-72CEC69F9B9B}"/>
    <hyperlink ref="A8" r:id="rId377" display="javascript:__doPostBack('ctl00$MainContent$gvACSpeeds','Date$94')" xr:uid="{F8510E87-6BCF-4762-9D3E-73E215E04141}"/>
    <hyperlink ref="B8" r:id="rId378" display="javascript:__doPostBack('ctl00$MainContent$gvACSpeeds','Pilot$94')" xr:uid="{72B1D088-2815-4BFB-8B9F-09CF4D75FA04}"/>
    <hyperlink ref="E8" r:id="rId379" display="javascript:__doPostBack('ctl00$MainContent$gvACSpeeds','Plane$94')" xr:uid="{4FB9A588-FB97-4EDD-BC4C-9036A4904094}"/>
    <hyperlink ref="F8" r:id="rId380" display="javascript:__doPostBack('ctl00$MainContent$gvACSpeeds','Location$94')" xr:uid="{64CD27D3-4D04-411E-8128-AF60CE6AF130}"/>
    <hyperlink ref="A5" r:id="rId381" display="javascript:__doPostBack('ctl00$MainContent$gvACSpeeds','Date$95')" xr:uid="{2B4A04CC-2142-4BB9-A167-4CD159B7CFF8}"/>
    <hyperlink ref="B5" r:id="rId382" display="javascript:__doPostBack('ctl00$MainContent$gvACSpeeds','Pilot$95')" xr:uid="{45D76A23-D5E5-4962-A301-71392D0BAA00}"/>
    <hyperlink ref="E5" r:id="rId383" display="javascript:__doPostBack('ctl00$MainContent$gvACSpeeds','Plane$95')" xr:uid="{A14EB58F-15EF-4EEB-B7FF-0E45B3013422}"/>
    <hyperlink ref="F5" r:id="rId384" display="javascript:__doPostBack('ctl00$MainContent$gvACSpeeds','Location$95')" xr:uid="{EE0034CA-3C11-4755-BE81-A3CFF674C3A9}"/>
    <hyperlink ref="A6" r:id="rId385" display="javascript:__doPostBack('ctl00$MainContent$gvACSpeeds','Date$96')" xr:uid="{A4E5FCFD-D0F2-4CC7-A1E7-C8A19F9187BC}"/>
    <hyperlink ref="B6" r:id="rId386" display="javascript:__doPostBack('ctl00$MainContent$gvACSpeeds','Pilot$96')" xr:uid="{7C274FC2-C2DB-4AF1-83F8-45A95330120A}"/>
    <hyperlink ref="E6" r:id="rId387" display="javascript:__doPostBack('ctl00$MainContent$gvACSpeeds','Plane$96')" xr:uid="{91F6F52D-E100-43AC-B0BF-4791356C950E}"/>
    <hyperlink ref="F6" r:id="rId388" display="javascript:__doPostBack('ctl00$MainContent$gvACSpeeds','Location$96')" xr:uid="{0C13F197-AC51-4EA9-9955-8F5162282A9E}"/>
    <hyperlink ref="A4" r:id="rId389" display="javascript:__doPostBack('ctl00$MainContent$gvACSpeeds','Date$97')" xr:uid="{C15AB96F-428A-4B73-92C1-16CF40D4CDEC}"/>
    <hyperlink ref="B4" r:id="rId390" display="javascript:__doPostBack('ctl00$MainContent$gvACSpeeds','Pilot$97')" xr:uid="{CDD281A3-A204-4AE5-A9D5-14AD1087E352}"/>
    <hyperlink ref="E4" r:id="rId391" display="javascript:__doPostBack('ctl00$MainContent$gvACSpeeds','Plane$97')" xr:uid="{04639080-F127-439B-9B43-9B89B4342E25}"/>
    <hyperlink ref="F4" r:id="rId392" display="javascript:__doPostBack('ctl00$MainContent$gvACSpeeds','Location$97')" xr:uid="{C0EC6183-0683-461A-87CC-AC279E9515AA}"/>
    <hyperlink ref="A3" r:id="rId393" display="javascript:__doPostBack('ctl00$MainContent$gvACSpeeds','Date$98')" xr:uid="{20A9467A-CC88-4C81-92D1-3DD82821EA08}"/>
    <hyperlink ref="B3" r:id="rId394" display="javascript:__doPostBack('ctl00$MainContent$gvACSpeeds','Pilot$98')" xr:uid="{38164A9F-97D8-473A-AD63-9783DDA6B2C9}"/>
    <hyperlink ref="E3" r:id="rId395" display="javascript:__doPostBack('ctl00$MainContent$gvACSpeeds','Plane$98')" xr:uid="{0AED1ECA-2ED5-44E2-9DD3-1849EB2E2D91}"/>
    <hyperlink ref="F3" r:id="rId396" display="javascript:__doPostBack('ctl00$MainContent$gvACSpeeds','Location$98')" xr:uid="{A450137E-6DB1-4AB8-A13F-A1E8098FF130}"/>
    <hyperlink ref="A2" r:id="rId397" display="javascript:__doPostBack('ctl00$MainContent$gvACSpeeds','Date$99')" xr:uid="{2BF38880-5B80-4466-9DA1-779A672F3AD6}"/>
    <hyperlink ref="B2" r:id="rId398" display="javascript:__doPostBack('ctl00$MainContent$gvACSpeeds','Pilot$99')" xr:uid="{ADF512C5-36D2-416D-B088-A259B5136B54}"/>
    <hyperlink ref="E2" r:id="rId399" display="javascript:__doPostBack('ctl00$MainContent$gvACSpeeds','Plane$99')" xr:uid="{85124707-E356-4391-B3B3-0C8110914D29}"/>
    <hyperlink ref="F2" r:id="rId400" display="javascript:__doPostBack('ctl00$MainContent$gvACSpeeds','Location$99')" xr:uid="{405059AF-A413-4ED6-A171-57755FA14432}"/>
  </hyperlinks>
  <pageMargins left="0.7" right="0.7" top="0.78740157499999996" bottom="0.78740157499999996" header="0.3" footer="0.3"/>
  <drawing r:id="rId4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Glutz (s)</dc:creator>
  <cp:lastModifiedBy>Fabian Glutz (s)</cp:lastModifiedBy>
  <dcterms:created xsi:type="dcterms:W3CDTF">2026-07-04T20:17:15Z</dcterms:created>
  <dcterms:modified xsi:type="dcterms:W3CDTF">2026-07-04T20:49:43Z</dcterms:modified>
</cp:coreProperties>
</file>